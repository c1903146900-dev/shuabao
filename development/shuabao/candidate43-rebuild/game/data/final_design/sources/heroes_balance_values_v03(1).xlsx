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85927354f54c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目录" sheetId="1" r:id="R47167342a32b4e73"/>
    <x:sheet xmlns:r="http://schemas.openxmlformats.org/officeDocument/2006/relationships" name="基础与资源" sheetId="2" r:id="R46671e63a650499e"/>
    <x:sheet xmlns:r="http://schemas.openxmlformats.org/officeDocument/2006/relationships" name="风厉技能" sheetId="3" r:id="Re4bac5c1a8e04d17"/>
    <x:sheet xmlns:r="http://schemas.openxmlformats.org/officeDocument/2006/relationships" name="晏归舟技能" sheetId="4" r:id="R326ba4a7b7a24e43"/>
    <x:sheet xmlns:r="http://schemas.openxmlformats.org/officeDocument/2006/relationships" name="弧翎技能" sheetId="5" r:id="R7fd2c2594a8f4c5e"/>
    <x:sheet xmlns:r="http://schemas.openxmlformats.org/officeDocument/2006/relationships" name="玄垒技能" sheetId="6" r:id="R35799fa54070412b"/>
    <x:sheet xmlns:r="http://schemas.openxmlformats.org/officeDocument/2006/relationships" name="赫兹技能" sheetId="7" r:id="Re6cc2d9420074bd4"/>
    <x:sheet xmlns:r="http://schemas.openxmlformats.org/officeDocument/2006/relationships" name="弥罗技能" sheetId="8" r:id="R489a0c9581554066"/>
    <x:sheet xmlns:r="http://schemas.openxmlformats.org/officeDocument/2006/relationships" name="专属海克斯" sheetId="9" r:id="Rc0439718438a46e8"/>
    <x:sheet xmlns:r="http://schemas.openxmlformats.org/officeDocument/2006/relationships" name="通用海克斯" sheetId="10" r:id="R3c8bd5d6228f45f8"/>
    <x:sheet xmlns:r="http://schemas.openxmlformats.org/officeDocument/2006/relationships" name="海克斯原文" sheetId="11" r:id="Re5523f05967b40a5"/>
    <x:sheet xmlns:r="http://schemas.openxmlformats.org/officeDocument/2006/relationships" name="成长检算" sheetId="12" r:id="Rf76cfc3ab5fd4def"/>
    <x:sheet xmlns:r="http://schemas.openxmlformats.org/officeDocument/2006/relationships" name="规则待确认" sheetId="13" r:id="Rb099f0260056474e"/>
    <x:sheet xmlns:r="http://schemas.openxmlformats.org/officeDocument/2006/relationships" name="检算基准" sheetId="14" r:id="R1caf1e6b1a284b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"/>
    <x:numFmt numFmtId="201" formatCode="0.00"/>
    <x:numFmt numFmtId="202" formatCode="0.0%"/>
    <x:numFmt numFmtId="203" formatCode="0"/>
  </x:numFmts>
  <x:fonts count="8">
    <x:font>
      <x:sz val="11"/>
      <x:name val="Carlito"/>
    </x:font>
    <x:font>
      <x:sz val="10"/>
      <x:color rgb="FF243746"/>
      <x:name val="Calibri"/>
    </x:font>
    <x:font>
      <x:b/>
      <x:sz val="17"/>
      <x:color rgb="FFFFFFFF"/>
      <x:name val="Calibri"/>
    </x:font>
    <x:font>
      <x:sz val="10"/>
      <x:color rgb="FF687988"/>
      <x:name val="Calibri"/>
    </x:font>
    <x:font>
      <x:b/>
      <x:sz val="10"/>
      <x:color rgb="FFFFFFFF"/>
      <x:name val="Calibri"/>
    </x:font>
    <x:font>
      <x:sz val="10"/>
      <x:color rgb="FF1E55A0"/>
      <x:name val="Calibri"/>
    </x:font>
    <x:font>
      <x:b/>
      <x:sz val="10"/>
      <x:color rgb="FF243746"/>
      <x:name val="Calibri"/>
    </x:font>
    <x:font>
      <x:b/>
      <x:sz val="11"/>
      <x:color rgb="FF2036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0364D"/>
      </x:patternFill>
    </x:fill>
    <x:fill>
      <x:patternFill patternType="solid">
        <x:fgColor rgb="FF176B72"/>
      </x:patternFill>
    </x:fill>
    <x:fill>
      <x:patternFill patternType="solid">
        <x:fgColor rgb="FFEFF5F7"/>
      </x:patternFill>
    </x:fill>
    <x:fill>
      <x:patternFill patternType="solid">
        <x:fgColor rgb="FFFFF3CF"/>
      </x:patternFill>
    </x:fill>
    <x:fill>
      <x:patternFill patternType="solid">
        <x:fgColor rgb="FFF1F3F5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horizontal="center" vertical="center" wrapText="1"/>
    </x:xf>
    <x:xf numFmtId="200" fontId="5" fillId="0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200" fontId="5" fillId="5" borderId="0" xfId="0" applyNumberFormat="1" applyFont="1" applyFill="1" applyBorder="1" applyAlignment="1">
      <x:alignment horizontal="center" vertical="center" wrapText="1"/>
    </x:xf>
    <x:xf numFmtId="200" fontId="5" fillId="5" borderId="1" xfId="0" applyNumberFormat="1" applyFont="1" applyFill="1" applyBorder="1" applyAlignment="1">
      <x:alignment horizontal="center" vertical="center" wrapText="1"/>
    </x:xf>
    <x:xf numFmtId="200" fontId="5" fillId="6" borderId="0" xfId="0" applyNumberFormat="1" applyFont="1" applyFill="1" applyBorder="1" applyAlignment="1">
      <x:alignment horizontal="center" vertical="center" wrapText="1"/>
    </x:xf>
    <x:xf numFmtId="200" fontId="5" fillId="6" borderId="1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horizontal="center" vertical="center" wrapText="1"/>
    </x:xf>
    <x:xf numFmtId="200" fontId="3" fillId="0" borderId="1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 applyAlignment="1">
      <x:alignment horizontal="center" vertical="center" wrapText="1"/>
    </x:xf>
    <x:xf numFmtId="202" fontId="1" fillId="0" borderId="1" xfId="0" applyNumberFormat="1" applyFont="1" applyFill="1" applyBorder="1" applyAlignment="1">
      <x:alignment horizontal="center" vertical="center" wrapText="1"/>
    </x:xf>
    <x:xf numFmtId="201" fontId="1" fillId="5" borderId="0" xfId="0" applyNumberFormat="1" applyFont="1" applyFill="1" applyBorder="1" applyAlignment="1">
      <x:alignment horizontal="center" vertical="center" wrapText="1"/>
    </x:xf>
    <x:xf numFmtId="201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 applyAlignment="1">
      <x:alignment horizontal="center" vertical="center" wrapText="1"/>
    </x:xf>
    <x:xf numFmtId="203" fontId="5" fillId="0" borderId="1" xfId="0" applyNumberFormat="1" applyFont="1" applyFill="1" applyBorder="1" applyAlignment="1">
      <x:alignment horizontal="center" vertical="center" wrapText="1"/>
    </x:xf>
    <x:xf numFmtId="201" fontId="5" fillId="0" borderId="0" xfId="0" applyNumberFormat="1" applyFont="1" applyFill="1" applyBorder="1" applyAlignment="1">
      <x:alignment horizontal="center" vertical="center" wrapText="1"/>
    </x:xf>
    <x:xf numFmtId="201" fontId="5" fillId="0" borderId="1" xfId="0" applyNumberFormat="1" applyFont="1" applyFill="1" applyBorder="1" applyAlignment="1">
      <x:alignment horizontal="center" vertical="center" wrapText="1"/>
    </x:xf>
    <x:xf numFmtId="203" fontId="5" fillId="5" borderId="0" xfId="0" applyNumberFormat="1" applyFont="1" applyFill="1" applyBorder="1" applyAlignment="1">
      <x:alignment horizontal="center" vertical="center" wrapText="1"/>
    </x:xf>
    <x:xf numFmtId="203" fontId="5" fillId="5" borderId="1" xfId="0" applyNumberFormat="1" applyFont="1" applyFill="1" applyBorder="1" applyAlignment="1">
      <x:alignment horizontal="center" vertical="center" wrapText="1"/>
    </x:xf>
    <x:xf numFmtId="201" fontId="5" fillId="5" borderId="0" xfId="0" applyNumberFormat="1" applyFont="1" applyFill="1" applyBorder="1" applyAlignment="1">
      <x:alignment horizontal="center" vertical="center" wrapText="1"/>
    </x:xf>
    <x:xf numFmtId="201" fontId="5" fillId="5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5789639e9744b7" /><Relationship Type="http://schemas.openxmlformats.org/officeDocument/2006/relationships/theme" Target="/xl/theme/theme1.xml" Id="Rfb9e3238b75740eb" /><Relationship Type="http://schemas.openxmlformats.org/officeDocument/2006/relationships/sharedStrings" Target="/xl/sharedStrings.xml" Id="R95c39228255d4001" /><Relationship Type="http://schemas.openxmlformats.org/officeDocument/2006/relationships/worksheet" Target="/xl/worksheets/sheet1.xml" Id="R47167342a32b4e73" /><Relationship Type="http://schemas.openxmlformats.org/officeDocument/2006/relationships/worksheet" Target="/xl/worksheets/sheet2.xml" Id="R46671e63a650499e" /><Relationship Type="http://schemas.openxmlformats.org/officeDocument/2006/relationships/worksheet" Target="/xl/worksheets/sheet3.xml" Id="Re4bac5c1a8e04d17" /><Relationship Type="http://schemas.openxmlformats.org/officeDocument/2006/relationships/worksheet" Target="/xl/worksheets/sheet4.xml" Id="R326ba4a7b7a24e43" /><Relationship Type="http://schemas.openxmlformats.org/officeDocument/2006/relationships/worksheet" Target="/xl/worksheets/sheet5.xml" Id="R7fd2c2594a8f4c5e" /><Relationship Type="http://schemas.openxmlformats.org/officeDocument/2006/relationships/worksheet" Target="/xl/worksheets/sheet6.xml" Id="R35799fa54070412b" /><Relationship Type="http://schemas.openxmlformats.org/officeDocument/2006/relationships/worksheet" Target="/xl/worksheets/sheet7.xml" Id="Re6cc2d9420074bd4" /><Relationship Type="http://schemas.openxmlformats.org/officeDocument/2006/relationships/worksheet" Target="/xl/worksheets/sheet8.xml" Id="R489a0c9581554066" /><Relationship Type="http://schemas.openxmlformats.org/officeDocument/2006/relationships/worksheet" Target="/xl/worksheets/sheet9.xml" Id="Rc0439718438a46e8" /><Relationship Type="http://schemas.openxmlformats.org/officeDocument/2006/relationships/worksheet" Target="/xl/worksheets/sheet10.xml" Id="R3c8bd5d6228f45f8" /><Relationship Type="http://schemas.openxmlformats.org/officeDocument/2006/relationships/worksheet" Target="/xl/worksheets/sheet11.xml" Id="Re5523f05967b40a5" /><Relationship Type="http://schemas.openxmlformats.org/officeDocument/2006/relationships/worksheet" Target="/xl/worksheets/sheet12.xml" Id="Rf76cfc3ab5fd4def" /><Relationship Type="http://schemas.openxmlformats.org/officeDocument/2006/relationships/worksheet" Target="/xl/worksheets/sheet13.xml" Id="Rb099f0260056474e" /><Relationship Type="http://schemas.openxmlformats.org/officeDocument/2006/relationships/worksheet" Target="/xl/worksheets/sheet14.xml" Id="R1caf1e6b1a284bcc" /></Relationships>
</file>

<file path=xl/tables/table1.xml><?xml version="1.0" encoding="utf-8"?>
<x:table xmlns:x="http://schemas.openxmlformats.org/spreadsheetml/2006/main" id="14" name="Workbook_Index" displayName="Workbook_Index" ref="A4:D17" headerRowCount="1" totalsRowCount="0" totalsRowShown="0">
  <x:tableColumns count="4">
    <x:tableColumn id="1" name="工作表"/>
    <x:tableColumn id="2" name="内容"/>
    <x:tableColumn id="3" name="参数／条目数"/>
    <x:tableColumn id="4" name="使用范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Base_Params" displayName="Base_Params" ref="A4:G82" headerRowCount="1" totalsRowCount="0" totalsRowShown="0">
  <x:tableColumns count="7">
    <x:tableColumn id="1" name="英雄"/>
    <x:tableColumn id="2" name="占位编号"/>
    <x:tableColumn id="3" name="类别"/>
    <x:tableColumn id="4" name="数值项"/>
    <x:tableColumn id="5" name="单位"/>
    <x:tableColumn id="6" name="基础值"/>
    <x:tableColumn id="7" name="对应描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Skill_1" displayName="Skill_1" ref="A4:K84" headerRowCount="1" totalsRowCount="0" totalsRowShown="0">
  <x:tableColumns count="11">
    <x:tableColumn id="1" name="占位编号"/>
    <x:tableColumn id="2" name="技能"/>
    <x:tableColumn id="3" name="数值项"/>
    <x:tableColumn id="4" name="单位"/>
    <x:tableColumn id="5" name="Lv1"/>
    <x:tableColumn id="6" name="Lv2"/>
    <x:tableColumn id="7" name="Lv3"/>
    <x:tableColumn id="8" name="Lv4"/>
    <x:tableColumn id="9" name="Lv5"/>
    <x:tableColumn id="10" name="Lv6"/>
    <x:tableColumn id="11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Skill_2" displayName="Skill_2" ref="A4:K98" headerRowCount="1" totalsRowCount="0" totalsRowShown="0">
  <x:tableColumns count="11">
    <x:tableColumn id="1" name="占位编号"/>
    <x:tableColumn id="2" name="技能"/>
    <x:tableColumn id="3" name="数值项"/>
    <x:tableColumn id="4" name="单位"/>
    <x:tableColumn id="5" name="Lv1"/>
    <x:tableColumn id="6" name="Lv2"/>
    <x:tableColumn id="7" name="Lv3"/>
    <x:tableColumn id="8" name="Lv4"/>
    <x:tableColumn id="9" name="Lv5"/>
    <x:tableColumn id="10" name="Lv6"/>
    <x:tableColumn id="11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Skill_3" displayName="Skill_3" ref="A4:K79" headerRowCount="1" totalsRowCount="0" totalsRowShown="0">
  <x:tableColumns count="11">
    <x:tableColumn id="1" name="占位编号"/>
    <x:tableColumn id="2" name="技能"/>
    <x:tableColumn id="3" name="数值项"/>
    <x:tableColumn id="4" name="单位"/>
    <x:tableColumn id="5" name="Lv1"/>
    <x:tableColumn id="6" name="Lv2"/>
    <x:tableColumn id="7" name="Lv3"/>
    <x:tableColumn id="8" name="Lv4"/>
    <x:tableColumn id="9" name="Lv5"/>
    <x:tableColumn id="10" name="Lv6"/>
    <x:tableColumn id="11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Skill_4" displayName="Skill_4" ref="A4:K101" headerRowCount="1" totalsRowCount="0" totalsRowShown="0">
  <x:tableColumns count="11">
    <x:tableColumn id="1" name="占位编号"/>
    <x:tableColumn id="2" name="技能"/>
    <x:tableColumn id="3" name="数值项"/>
    <x:tableColumn id="4" name="单位"/>
    <x:tableColumn id="5" name="Lv1"/>
    <x:tableColumn id="6" name="Lv2"/>
    <x:tableColumn id="7" name="Lv3"/>
    <x:tableColumn id="8" name="Lv4"/>
    <x:tableColumn id="9" name="Lv5"/>
    <x:tableColumn id="10" name="Lv6"/>
    <x:tableColumn id="11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" name="Skill_5" displayName="Skill_5" ref="A4:K95" headerRowCount="1" totalsRowCount="0" totalsRowShown="0">
  <x:tableColumns count="11">
    <x:tableColumn id="1" name="占位编号"/>
    <x:tableColumn id="2" name="技能"/>
    <x:tableColumn id="3" name="数值项"/>
    <x:tableColumn id="4" name="单位"/>
    <x:tableColumn id="5" name="Lv1"/>
    <x:tableColumn id="6" name="Lv2"/>
    <x:tableColumn id="7" name="Lv3"/>
    <x:tableColumn id="8" name="Lv4"/>
    <x:tableColumn id="9" name="Lv5"/>
    <x:tableColumn id="10" name="Lv6"/>
    <x:tableColumn id="11" name="备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6" name="Skill_6" displayName="Skill_6" ref="A4:K99" headerRowCount="1" totalsRowCount="0" totalsRowShown="0">
  <x:tableColumns count="11">
    <x:tableColumn id="1" name="占位编号"/>
    <x:tableColumn id="2" name="技能"/>
    <x:tableColumn id="3" name="数值项"/>
    <x:tableColumn id="4" name="单位"/>
    <x:tableColumn id="5" name="Lv1"/>
    <x:tableColumn id="6" name="Lv2"/>
    <x:tableColumn id="7" name="Lv3"/>
    <x:tableColumn id="8" name="Lv4"/>
    <x:tableColumn id="9" name="Lv5"/>
    <x:tableColumn id="10" name="Lv6"/>
    <x:tableColumn id="11" name="备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Hero_Hex" displayName="Hero_Hex" ref="A4:G224" headerRowCount="1" totalsRowCount="0" totalsRowShown="0">
  <x:tableColumns count="7">
    <x:tableColumn id="1" name="英雄"/>
    <x:tableColumn id="2" name="海克斯"/>
    <x:tableColumn id="3" name="占位编号"/>
    <x:tableColumn id="4" name="数值项"/>
    <x:tableColumn id="5" name="单位"/>
    <x:tableColumn id="6" name="数值"/>
    <x:tableColumn id="7" name="对应描述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Common_Hex" displayName="Common_Hex" ref="A4:G134" headerRowCount="1" totalsRowCount="0" totalsRowShown="0">
  <x:tableColumns count="7">
    <x:tableColumn id="1" name="海克斯"/>
    <x:tableColumn id="2" name="占位编号"/>
    <x:tableColumn id="3" name="数值项"/>
    <x:tableColumn id="4" name="单位"/>
    <x:tableColumn id="5" name="数值"/>
    <x:tableColumn id="6" name="状态"/>
    <x:tableColumn id="7" name="对应描述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Hex_Text" displayName="Hex_Text" ref="A4:D133" headerRowCount="1" totalsRowCount="0" totalsRowShown="0">
  <x:tableColumns count="4">
    <x:tableColumn id="1" name="英雄／池"/>
    <x:tableColumn id="2" name="编号"/>
    <x:tableColumn id="3" name="名称"/>
    <x:tableColumn id="4" name="数值代入描述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Growth_Check" displayName="Growth_Check" ref="A4:Q70" headerRowCount="1" totalsRowCount="0" totalsRowShown="0">
  <x:tableColumns count="17">
    <x:tableColumn id="1" name="英雄"/>
    <x:tableColumn id="2" name="技能"/>
    <x:tableColumn id="3" name="检算指标"/>
    <x:tableColumn id="4" name="单位"/>
    <x:tableColumn id="5" name="Lv1"/>
    <x:tableColumn id="6" name="Lv2"/>
    <x:tableColumn id="7" name="Lv3"/>
    <x:tableColumn id="8" name="Lv4"/>
    <x:tableColumn id="9" name="Lv5"/>
    <x:tableColumn id="10" name="Lv6"/>
    <x:tableColumn id="11" name="2－1"/>
    <x:tableColumn id="12" name="3－2"/>
    <x:tableColumn id="13" name="4－3"/>
    <x:tableColumn id="14" name="5－4"/>
    <x:tableColumn id="15" name="6－5"/>
    <x:tableColumn id="16" name="满级增幅"/>
    <x:tableColumn id="17" name="检算边界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Open_Rules" displayName="Open_Rules" ref="A4:D20" headerRowCount="1" totalsRowCount="0" totalsRowShown="0">
  <x:tableColumns count="4">
    <x:tableColumn id="1" name="对象"/>
    <x:tableColumn id="2" name="技能／项目"/>
    <x:tableColumn id="3" name="待确认问题"/>
    <x:tableColumn id="4" name="本表处理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1" name="Check_Inputs" displayName="Check_Inputs" ref="A4:D12" headerRowCount="1" totalsRowCount="0" totalsRowShown="0">
  <x:tableColumns count="4">
    <x:tableColumn id="1" name="输入项"/>
    <x:tableColumn id="2" name="数值"/>
    <x:tableColumn id="3" name="单位"/>
    <x:tableColumn id="4" name="口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8b767baf0947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57847b33a5140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b711e9a430849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cbcaf6d714848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31c1120935c47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3ea8fceebfd43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ebadf8f535d4e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f9a702b38564c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d6929ea46ba458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f862caceb9834f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e321fdd33734cd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c06e18dcdc8474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f646a56e942457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e86d69722834973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0" hidden="0" customWidth="1"/>
    <x:col min="3" max="3" width="20" hidden="0" customWidth="1"/>
    <x:col min="4" max="4" width="59" hidden="0" customWidth="1"/>
  </x:cols>
  <x:sheetData>
    <x:row r="1" ht="36" customHeight="1">
      <x:c r="A1" s="7" t="str">
        <x:v>六名首发英雄｜数值表 v0.3</x:v>
      </x:c>
      <x:c r="B1" s="7"/>
      <x:c r="C1" s="7"/>
      <x:c r="D1" s="7"/>
    </x:row>
    <x:row r="2" ht="30" customHeight="1">
      <x:c r="A2" s="11" t="str">
        <x:v>机制对应 heroes_mechanics_no_values_v03.docx；954个占位参数逐项覆盖。首轮设计数值，未经过实机平衡。</x:v>
      </x:c>
      <x:c r="B2" s="11"/>
      <x:c r="C2" s="11"/>
      <x:c r="D2" s="11"/>
    </x:row>
    <x:row r="3" ht="24" customHeight="1">
      <x:c r="A3" s="3"/>
      <x:c r="B3" s="3"/>
      <x:c r="C3" s="3"/>
      <x:c r="D3" s="3"/>
    </x:row>
    <x:row r="4" ht="28" customHeight="1">
      <x:c r="A4" s="16" t="str">
        <x:v>工作表</x:v>
      </x:c>
      <x:c r="B4" s="16" t="str">
        <x:v>内容</x:v>
      </x:c>
      <x:c r="C4" s="16" t="str">
        <x:v>参数／条目数</x:v>
      </x:c>
      <x:c r="D4" s="16" t="str">
        <x:v>使用范围</x:v>
      </x:c>
    </x:row>
    <x:row r="5" ht="24" customHeight="1">
      <x:c r="A5" s="20" t="str">
        <x:v>基础与资源</x:v>
      </x:c>
      <x:c r="B5" s="20" t="str">
        <x:v>六英雄普攻、Shift、特殊资源</x:v>
      </x:c>
      <x:c r="C5" s="26" t="n">
        <x:v>78</x:v>
      </x:c>
      <x:c r="D5" s="20" t="str">
        <x:v>ATK / D / I；单档值</x:v>
      </x:c>
    </x:row>
    <x:row r="6" ht="24" customHeight="1">
      <x:c r="A6" s="20" t="str">
        <x:v>风厉技能</x:v>
      </x:c>
      <x:c r="B6" s="20" t="str">
        <x:v>11个候选技能的逐级参数</x:v>
      </x:c>
      <x:c r="C6" s="26" t="n">
        <x:v>80</x:v>
      </x:c>
      <x:c r="D6" s="20" t="str">
        <x:v>Q/E 6档；被动/R 4档</x:v>
      </x:c>
    </x:row>
    <x:row r="7" ht="24" customHeight="1">
      <x:c r="A7" s="20" t="str">
        <x:v>晏归舟技能</x:v>
      </x:c>
      <x:c r="B7" s="20" t="str">
        <x:v>11个候选技能的逐级参数</x:v>
      </x:c>
      <x:c r="C7" s="26" t="n">
        <x:v>94</x:v>
      </x:c>
      <x:c r="D7" s="20" t="str">
        <x:v>Q/E 6档；被动/R 4档</x:v>
      </x:c>
    </x:row>
    <x:row r="8" ht="24" customHeight="1">
      <x:c r="A8" s="20" t="str">
        <x:v>弧翎技能</x:v>
      </x:c>
      <x:c r="B8" s="20" t="str">
        <x:v>11个候选技能的逐级参数</x:v>
      </x:c>
      <x:c r="C8" s="26" t="n">
        <x:v>75</x:v>
      </x:c>
      <x:c r="D8" s="20" t="str">
        <x:v>Q/E 6档；被动/R 4档</x:v>
      </x:c>
    </x:row>
    <x:row r="9" ht="24" customHeight="1">
      <x:c r="A9" s="20" t="str">
        <x:v>玄垒技能</x:v>
      </x:c>
      <x:c r="B9" s="20" t="str">
        <x:v>11个候选技能的逐级参数</x:v>
      </x:c>
      <x:c r="C9" s="26" t="n">
        <x:v>97</x:v>
      </x:c>
      <x:c r="D9" s="20" t="str">
        <x:v>Q/E 6档；被动/R 4档</x:v>
      </x:c>
    </x:row>
    <x:row r="10" ht="24" customHeight="1">
      <x:c r="A10" s="20" t="str">
        <x:v>赫兹技能</x:v>
      </x:c>
      <x:c r="B10" s="20" t="str">
        <x:v>11个候选技能的逐级参数</x:v>
      </x:c>
      <x:c r="C10" s="26" t="n">
        <x:v>91</x:v>
      </x:c>
      <x:c r="D10" s="20" t="str">
        <x:v>Q/E 6档；被动/R 4档</x:v>
      </x:c>
    </x:row>
    <x:row r="11" ht="24" customHeight="1">
      <x:c r="A11" s="20" t="str">
        <x:v>弥罗技能</x:v>
      </x:c>
      <x:c r="B11" s="20" t="str">
        <x:v>11个候选技能的逐级参数</x:v>
      </x:c>
      <x:c r="C11" s="26" t="n">
        <x:v>95</x:v>
      </x:c>
      <x:c r="D11" s="20" t="str">
        <x:v>Q/E 6档；被动/R 4档</x:v>
      </x:c>
    </x:row>
    <x:row r="12" ht="24" customHeight="1">
      <x:c r="A12" s="20" t="str">
        <x:v>专属海克斯</x:v>
      </x:c>
      <x:c r="B12" s="20" t="str">
        <x:v>99个专属海克斯；含无数值机制</x:v>
      </x:c>
      <x:c r="C12" s="26" t="n">
        <x:v>215</x:v>
      </x:c>
      <x:c r="D12" s="20" t="str">
        <x:v>单档参数，无海克斯等级</x:v>
      </x:c>
    </x:row>
    <x:row r="13" ht="24" customHeight="1">
      <x:c r="A13" s="20" t="str">
        <x:v>通用海克斯</x:v>
      </x:c>
      <x:c r="B13" s="20" t="str">
        <x:v>30个通用海克斯</x:v>
      </x:c>
      <x:c r="C13" s="26" t="n">
        <x:v>129</x:v>
      </x:c>
      <x:c r="D13" s="20" t="str">
        <x:v>G24–G30仍为补充提案</x:v>
      </x:c>
    </x:row>
    <x:row r="14" ht="24" customHeight="1">
      <x:c r="A14" s="20" t="str">
        <x:v>海克斯原文</x:v>
      </x:c>
      <x:c r="B14" s="20" t="str">
        <x:v>129个海克斯的参数化文字</x:v>
      </x:c>
      <x:c r="C14" s="26" t="n">
        <x:v>129</x:v>
      </x:c>
      <x:c r="D14" s="20" t="str">
        <x:v>使用技能全名，不把Q1当技能名</x:v>
      </x:c>
    </x:row>
    <x:row r="15" ht="24" customHeight="1">
      <x:c r="A15" s="20" t="str">
        <x:v>成长检算</x:v>
      </x:c>
      <x:c r="B15" s="20" t="str">
        <x:v>66个技能的升级收益</x:v>
      </x:c>
      <x:c r="C15" s="26" t="n">
        <x:v>66</x:v>
      </x:c>
      <x:c r="D15" s="20" t="str">
        <x:v>公式关联各技能表与检算基准</x:v>
      </x:c>
    </x:row>
    <x:row r="16" ht="24" customHeight="1">
      <x:c r="A16" s="20" t="str">
        <x:v>检算基准</x:v>
      </x:c>
      <x:c r="B16" s="20" t="str">
        <x:v>AD/AP/生命等测试输入</x:v>
      </x:c>
      <x:c r="C16" s="26" t="n">
        <x:v>7</x:v>
      </x:c>
      <x:c r="D16" s="20" t="str">
        <x:v>仅检算，不替代角色基础属性</x:v>
      </x:c>
    </x:row>
    <x:row r="17" ht="24" customHeight="1">
      <x:c r="A17" s="20" t="str">
        <x:v>规则待确认</x:v>
      </x:c>
      <x:c r="B17" s="20" t="str">
        <x:v>原稿结算歧义与未定义项</x:v>
      </x:c>
      <x:c r="C17" s="26" t="n">
        <x:v>16</x:v>
      </x:c>
      <x:c r="D17" s="20" t="str">
        <x:v>不改变已定机制</x:v>
      </x:c>
    </x:row>
    <x:row r="20" ht="42" customHeight="1">
      <x:c r="A20" s="53" t="str">
        <x:v>引用键</x:v>
      </x:c>
      <x:c r="B20" s="49" t="str">
        <x:v>英雄名 + 占位编号；例如 风厉／[Q1-1]。不同英雄的[Q1-1]不能混用。</x:v>
      </x:c>
      <x:c r="C20" s="49"/>
      <x:c r="D20" s="49"/>
    </x:row>
    <x:row r="21" ht="42" customHeight="1">
      <x:c r="A21" s="53" t="str">
        <x:v>百分比</x:v>
      </x:c>
      <x:c r="B21" s="49" t="str">
        <x:v>系数列填100表示100%；例如固定伤害35、AD系数120，结果为35+1.2×AD。</x:v>
      </x:c>
      <x:c r="C21" s="49"/>
      <x:c r="D21" s="49"/>
    </x:row>
    <x:row r="22" ht="42" customHeight="1">
      <x:c r="A22" s="53" t="str">
        <x:v>单位</x:v>
      </x:c>
      <x:c r="B22" s="49" t="str">
        <x:v>米、米/秒、秒、度、点、层、次数均独立标注；没有用“小范围”“短时间”代替参数值。</x:v>
      </x:c>
      <x:c r="C22" s="49"/>
      <x:c r="D22" s="49"/>
    </x:row>
    <x:row r="23" ht="42" customHeight="1">
      <x:c r="A23" s="53" t="str">
        <x:v>等级</x:v>
      </x:c>
      <x:c r="B23" s="49" t="str">
        <x:v>Lv指技能等级，不是英雄等级。Q/E共6档，被动/R共4档；未使用等级格为空。</x:v>
      </x:c>
      <x:c r="C23" s="49"/>
      <x:c r="D23" s="49"/>
    </x:row>
    <x:row r="24" ht="42" customHeight="1">
      <x:c r="A24" s="53" t="str">
        <x:v>成长</x:v>
      </x:c>
      <x:c r="B24" s="49" t="str">
        <x:v>固定伤害和主要增益采用后段加速成长；Q/E的Lv4–6、被动/R的Lv3–4为重点投入段。</x:v>
      </x:c>
      <x:c r="C24" s="49"/>
      <x:c r="D24" s="49"/>
    </x:row>
    <x:row r="25" ht="42" customHeight="1">
      <x:c r="A25" s="53" t="str">
        <x:v>固定参数</x:v>
      </x:c>
      <x:c r="B25" s="49" t="str">
        <x:v>命中次数、施法窗口等允许固定，不要求每个参数都随等级变化。</x:v>
      </x:c>
      <x:c r="C25" s="49"/>
      <x:c r="D25" s="49"/>
    </x:row>
    <x:row r="26" ht="42" customHeight="1">
      <x:c r="A26" s="53" t="str">
        <x:v>海克斯</x:v>
      </x:c>
      <x:c r="B26" s="49" t="str">
        <x:v>不设品质或等级；机制型海克斯没有独立数值时保留空数值，不伪造参数。</x:v>
      </x:c>
      <x:c r="C26" s="49"/>
      <x:c r="D26" s="49"/>
    </x:row>
    <x:row r="27" ht="42" customHeight="1">
      <x:c r="A27" s="53" t="str">
        <x:v>边界</x:v>
      </x:c>
      <x:c r="B27" s="49" t="str">
        <x:v>数值由本次新设计；机制依据用户修订v0.2(1)及对应v0.3机制稿；未经实机测试。</x:v>
      </x:c>
      <x:c r="C27" s="49"/>
      <x:c r="D27" s="49"/>
    </x:row>
    <x:row r="28" ht="42" customHeight="1">
      <x:c r="A28" s="53" t="str">
        <x:v>文件源</x:v>
      </x:c>
      <x:c r="B28" s="49" t="str">
        <x:v>六名首发英雄_统一格式_技能数值化_专属海克斯_v0.2(1).docx / heroes_mechanics_no_values_v03.docx</x:v>
      </x:c>
      <x:c r="C28" s="49"/>
      <x:c r="D28" s="49"/>
    </x:row>
  </x:sheetData>
  <x:mergeCells>
    <x:mergeCell ref="A1:D1"/>
    <x:mergeCell ref="A2:D2"/>
    <x:mergeCell ref="B20:D20"/>
    <x:mergeCell ref="B21:D21"/>
    <x:mergeCell ref="B22:D22"/>
    <x:mergeCell ref="B23:D23"/>
    <x:mergeCell ref="B24:D24"/>
    <x:mergeCell ref="B25:D25"/>
    <x:mergeCell ref="B26:D26"/>
    <x:mergeCell ref="B27:D27"/>
    <x:mergeCell ref="B28:D28"/>
  </x:mergeCells>
  <x:pageMargins left="0.7" right="0.7" top="0.75" bottom="0.75" header="0.3" footer="0.3"/>
  <x:tableParts count="1">
    <x:tablePart xmlns:r="http://schemas.openxmlformats.org/officeDocument/2006/relationships" r:id="R018b767baf0947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1" hidden="0" customWidth="1"/>
    <x:col min="5" max="5" width="10" hidden="0" customWidth="1"/>
    <x:col min="6" max="6" width="13" hidden="0" customWidth="1"/>
    <x:col min="7" max="7" width="64" hidden="0" customWidth="1"/>
  </x:cols>
  <x:sheetData>
    <x:row r="1" ht="36" customHeight="1">
      <x:c r="A1" s="7" t="str">
        <x:v>普攻、冲刺与固有资源</x:v>
      </x:c>
      <x:c r="B1" s="7"/>
      <x:c r="C1" s="7"/>
      <x:c r="D1" s="7"/>
      <x:c r="E1" s="7"/>
      <x:c r="F1" s="7"/>
      <x:c r="G1" s="7"/>
    </x:row>
    <x:row r="2" ht="30" customHeight="1">
      <x:c r="A2" s="11" t="str">
        <x:v>单档基础参数；未替代或另建英雄生命、攻击力、法强的自然成长表。</x:v>
      </x:c>
      <x:c r="B2" s="11"/>
      <x:c r="C2" s="11"/>
      <x:c r="D2" s="11"/>
      <x:c r="E2" s="11"/>
      <x:c r="F2" s="11"/>
      <x:c r="G2" s="11"/>
    </x:row>
    <x:row r="3" ht="24" customHeight="1">
      <x:c r="A3" s="3"/>
      <x:c r="B3" s="3"/>
      <x:c r="C3" s="3"/>
      <x:c r="D3" s="3"/>
      <x:c r="E3" s="3"/>
      <x:c r="F3" s="3"/>
      <x:c r="G3" s="3"/>
    </x:row>
    <x:row r="4" ht="28" customHeight="1">
      <x:c r="A4" s="16" t="str">
        <x:v>英雄</x:v>
      </x:c>
      <x:c r="B4" s="16" t="str">
        <x:v>占位编号</x:v>
      </x:c>
      <x:c r="C4" s="16" t="str">
        <x:v>类别</x:v>
      </x:c>
      <x:c r="D4" s="16" t="str">
        <x:v>数值项</x:v>
      </x:c>
      <x:c r="E4" s="16" t="str">
        <x:v>单位</x:v>
      </x:c>
      <x:c r="F4" s="16" t="str">
        <x:v>基础值</x:v>
      </x:c>
      <x:c r="G4" s="16" t="str">
        <x:v>对应描述</x:v>
      </x:c>
    </x:row>
    <x:row r="5" ht="38" customHeight="1">
      <x:c r="A5" s="20" t="str">
        <x:v>风厉</x:v>
      </x:c>
      <x:c r="B5" s="20" t="str">
        <x:v>[ATK-1]</x:v>
      </x:c>
      <x:c r="C5" s="20" t="str">
        <x:v>基础攻击</x:v>
      </x:c>
      <x:c r="D5" s="20" t="str">
        <x:v>普攻AD系数</x:v>
      </x:c>
      <x:c r="E5" s="20" t="str">
        <x:v>%AD</x:v>
      </x:c>
      <x:c r="F5" s="56" t="n">
        <x:v>100</x:v>
      </x:c>
      <x:c r="G5" s="20" t="str">
        <x:v>长剑近战普通攻击，造成[ATK-1]%AD普通伤害；基础攻速[ATK-2]次/秒，攻击距离[ATK-</x:v>
      </x:c>
    </x:row>
    <x:row r="6" ht="38" customHeight="1">
      <x:c r="A6" s="20" t="str">
        <x:v>风厉</x:v>
      </x:c>
      <x:c r="B6" s="20" t="str">
        <x:v>[ATK-2]</x:v>
      </x:c>
      <x:c r="C6" s="20" t="str">
        <x:v>基础攻击</x:v>
      </x:c>
      <x:c r="D6" s="20" t="str">
        <x:v>基础攻速</x:v>
      </x:c>
      <x:c r="E6" s="20" t="str">
        <x:v>次/秒</x:v>
      </x:c>
      <x:c r="F6" s="58" t="n">
        <x:v>1.05</x:v>
      </x:c>
      <x:c r="G6" s="20" t="str">
        <x:v>，造成[ATK-1]%AD普通伤害；基础攻速[ATK-2]次/秒，攻击距离[ATK-3]米。</x:v>
      </x:c>
    </x:row>
    <x:row r="7" ht="38" customHeight="1">
      <x:c r="A7" s="20" t="str">
        <x:v>风厉</x:v>
      </x:c>
      <x:c r="B7" s="20" t="str">
        <x:v>[ATK-3]</x:v>
      </x:c>
      <x:c r="C7" s="20" t="str">
        <x:v>基础攻击</x:v>
      </x:c>
      <x:c r="D7" s="20" t="str">
        <x:v>普攻距离</x:v>
      </x:c>
      <x:c r="E7" s="20" t="str">
        <x:v>米</x:v>
      </x:c>
      <x:c r="F7" s="58" t="n">
        <x:v>2.4</x:v>
      </x:c>
      <x:c r="G7" s="20" t="str">
        <x:v>伤害；基础攻速[ATK-2]次/秒，攻击距离[ATK-3]米。</x:v>
      </x:c>
    </x:row>
    <x:row r="8" ht="38" customHeight="1">
      <x:c r="A8" s="20" t="str">
        <x:v>风厉</x:v>
      </x:c>
      <x:c r="B8" s="20" t="str">
        <x:v>[D-1]</x:v>
      </x:c>
      <x:c r="C8" s="20" t="str">
        <x:v>Shift</x:v>
      </x:c>
      <x:c r="D8" s="20" t="str">
        <x:v>冲刺距离</x:v>
      </x:c>
      <x:c r="E8" s="20" t="str">
        <x:v>米</x:v>
      </x:c>
      <x:c r="F8" s="58" t="n">
        <x:v>4.5</x:v>
      </x:c>
      <x:c r="G8" s="20" t="str">
        <x:v>向移动输入方向冲刺[D-1]米，持续[D-2]秒；未输入移动方向时沿当前朝向冲刺。无敌持续[</x:v>
      </x:c>
    </x:row>
    <x:row r="9" ht="38" customHeight="1">
      <x:c r="A9" s="20" t="str">
        <x:v>风厉</x:v>
      </x:c>
      <x:c r="B9" s="20" t="str">
        <x:v>[D-2]</x:v>
      </x:c>
      <x:c r="C9" s="20" t="str">
        <x:v>Shift</x:v>
      </x:c>
      <x:c r="D9" s="20" t="str">
        <x:v>冲刺动作时长</x:v>
      </x:c>
      <x:c r="E9" s="20" t="str">
        <x:v>秒</x:v>
      </x:c>
      <x:c r="F9" s="58" t="n">
        <x:v>0.25</x:v>
      </x:c>
      <x:c r="G9" s="20" t="str">
        <x:v>向移动输入方向冲刺[D-1]米，持续[D-2]秒；未输入移动方向时沿当前朝向冲刺。无敌持续[D-3]秒，基础冷</x:v>
      </x:c>
    </x:row>
    <x:row r="10" ht="38" customHeight="1">
      <x:c r="A10" s="20" t="str">
        <x:v>风厉</x:v>
      </x:c>
      <x:c r="B10" s="20" t="str">
        <x:v>[D-3]</x:v>
      </x:c>
      <x:c r="C10" s="20" t="str">
        <x:v>Shift</x:v>
      </x:c>
      <x:c r="D10" s="20" t="str">
        <x:v>冲刺无敌时长</x:v>
      </x:c>
      <x:c r="E10" s="20" t="str">
        <x:v>秒</x:v>
      </x:c>
      <x:c r="F10" s="58" t="n">
        <x:v>0.2</x:v>
      </x:c>
      <x:c r="G10" s="20" t="str">
        <x:v>秒；未输入移动方向时沿当前朝向冲刺。无敌持续[D-3]秒，基础冷却[D-4]秒。</x:v>
      </x:c>
    </x:row>
    <x:row r="11" ht="38" customHeight="1">
      <x:c r="A11" s="20" t="str">
        <x:v>风厉</x:v>
      </x:c>
      <x:c r="B11" s="20" t="str">
        <x:v>[D-4]</x:v>
      </x:c>
      <x:c r="C11" s="20" t="str">
        <x:v>Shift</x:v>
      </x:c>
      <x:c r="D11" s="20" t="str">
        <x:v>冲刺基础冷却</x:v>
      </x:c>
      <x:c r="E11" s="20" t="str">
        <x:v>秒</x:v>
      </x:c>
      <x:c r="F11" s="56" t="n">
        <x:v>4</x:v>
      </x:c>
      <x:c r="G11" s="20" t="str">
        <x:v>当前朝向冲刺。无敌持续[D-3]秒，基础冷却[D-4]秒。</x:v>
      </x:c>
    </x:row>
    <x:row r="12" ht="38" customHeight="1">
      <x:c r="A12" s="20" t="str">
        <x:v>晏归舟</x:v>
      </x:c>
      <x:c r="B12" s="20" t="str">
        <x:v>[ATK-1]</x:v>
      </x:c>
      <x:c r="C12" s="20" t="str">
        <x:v>基础攻击</x:v>
      </x:c>
      <x:c r="D12" s="20" t="str">
        <x:v>普攻AD系数</x:v>
      </x:c>
      <x:c r="E12" s="20" t="str">
        <x:v>%AD</x:v>
      </x:c>
      <x:c r="F12" s="56" t="n">
        <x:v>100</x:v>
      </x:c>
      <x:c r="G12" s="20" t="str">
        <x:v>挥笔射出狭长墨痕，造成[ATK-1]%AD普通伤害；基础攻速[ATK-2]次/秒，射程[ATK-3]</x:v>
      </x:c>
    </x:row>
    <x:row r="13" ht="38" customHeight="1">
      <x:c r="A13" s="20" t="str">
        <x:v>晏归舟</x:v>
      </x:c>
      <x:c r="B13" s="20" t="str">
        <x:v>[ATK-2]</x:v>
      </x:c>
      <x:c r="C13" s="20" t="str">
        <x:v>基础攻击</x:v>
      </x:c>
      <x:c r="D13" s="20" t="str">
        <x:v>基础攻速</x:v>
      </x:c>
      <x:c r="E13" s="20" t="str">
        <x:v>次/秒</x:v>
      </x:c>
      <x:c r="F13" s="58" t="n">
        <x:v>0.85</x:v>
      </x:c>
      <x:c r="G13" s="20" t="str">
        <x:v>，造成[ATK-1]%AD普通伤害；基础攻速[ATK-2]次/秒，射程[ATK-3]米，弹道宽度[ATK-4]米，飞行速度</x:v>
      </x:c>
    </x:row>
    <x:row r="14" ht="38" customHeight="1">
      <x:c r="A14" s="20" t="str">
        <x:v>晏归舟</x:v>
      </x:c>
      <x:c r="B14" s="20" t="str">
        <x:v>[ATK-3]</x:v>
      </x:c>
      <x:c r="C14" s="20" t="str">
        <x:v>基础攻击</x:v>
      </x:c>
      <x:c r="D14" s="20" t="str">
        <x:v>射程</x:v>
      </x:c>
      <x:c r="E14" s="20" t="str">
        <x:v>米</x:v>
      </x:c>
      <x:c r="F14" s="56" t="n">
        <x:v>9</x:v>
      </x:c>
      <x:c r="G14" s="20" t="str">
        <x:v>普通伤害；基础攻速[ATK-2]次/秒，射程[ATK-3]米，弹道宽度[ATK-4]米，飞行速度[ATK-5]米/秒。</x:v>
      </x:c>
    </x:row>
    <x:row r="15" ht="38" customHeight="1">
      <x:c r="A15" s="20" t="str">
        <x:v>晏归舟</x:v>
      </x:c>
      <x:c r="B15" s="20" t="str">
        <x:v>[ATK-4]</x:v>
      </x:c>
      <x:c r="C15" s="20" t="str">
        <x:v>基础攻击</x:v>
      </x:c>
      <x:c r="D15" s="20" t="str">
        <x:v>墨痕宽度</x:v>
      </x:c>
      <x:c r="E15" s="20" t="str">
        <x:v>米</x:v>
      </x:c>
      <x:c r="F15" s="58" t="n">
        <x:v>0.55</x:v>
      </x:c>
      <x:c r="G15" s="20" t="str">
        <x:v>-2]次/秒，射程[ATK-3]米，弹道宽度[ATK-4]米，飞行速度[ATK-5]米/秒。</x:v>
      </x:c>
    </x:row>
    <x:row r="16" ht="38" customHeight="1">
      <x:c r="A16" s="20" t="str">
        <x:v>晏归舟</x:v>
      </x:c>
      <x:c r="B16" s="20" t="str">
        <x:v>[ATK-5]</x:v>
      </x:c>
      <x:c r="C16" s="20" t="str">
        <x:v>基础攻击</x:v>
      </x:c>
      <x:c r="D16" s="20" t="str">
        <x:v>墨痕速度</x:v>
      </x:c>
      <x:c r="E16" s="20" t="str">
        <x:v>米/秒</x:v>
      </x:c>
      <x:c r="F16" s="56" t="n">
        <x:v>22</x:v>
      </x:c>
      <x:c r="G16" s="20" t="str">
        <x:v>-3]米，弹道宽度[ATK-4]米，飞行速度[ATK-5]米/秒。</x:v>
      </x:c>
    </x:row>
    <x:row r="17" ht="38" customHeight="1">
      <x:c r="A17" s="20" t="str">
        <x:v>晏归舟</x:v>
      </x:c>
      <x:c r="B17" s="20" t="str">
        <x:v>[D-1]</x:v>
      </x:c>
      <x:c r="C17" s="20" t="str">
        <x:v>Shift</x:v>
      </x:c>
      <x:c r="D17" s="20" t="str">
        <x:v>冲刺距离</x:v>
      </x:c>
      <x:c r="E17" s="20" t="str">
        <x:v>米</x:v>
      </x:c>
      <x:c r="F17" s="58" t="n">
        <x:v>4.5</x:v>
      </x:c>
      <x:c r="G17" s="20" t="str">
        <x:v>化作散墨向鼠标方向位移[D-1]米，动作持续[D-2]秒，无敌持续[D-3]秒，基础冷却[D-4</x:v>
      </x:c>
    </x:row>
    <x:row r="18" ht="38" customHeight="1">
      <x:c r="A18" s="20" t="str">
        <x:v>晏归舟</x:v>
      </x:c>
      <x:c r="B18" s="20" t="str">
        <x:v>[D-2]</x:v>
      </x:c>
      <x:c r="C18" s="20" t="str">
        <x:v>Shift</x:v>
      </x:c>
      <x:c r="D18" s="20" t="str">
        <x:v>冲刺动作时长</x:v>
      </x:c>
      <x:c r="E18" s="20" t="str">
        <x:v>秒</x:v>
      </x:c>
      <x:c r="F18" s="58" t="n">
        <x:v>0.25</x:v>
      </x:c>
      <x:c r="G18" s="20" t="str">
        <x:v>化作散墨向鼠标方向位移[D-1]米，动作持续[D-2]秒，无敌持续[D-3]秒，基础冷却[D-4]秒。</x:v>
      </x:c>
    </x:row>
    <x:row r="19" ht="38" customHeight="1">
      <x:c r="A19" s="20" t="str">
        <x:v>晏归舟</x:v>
      </x:c>
      <x:c r="B19" s="20" t="str">
        <x:v>[D-3]</x:v>
      </x:c>
      <x:c r="C19" s="20" t="str">
        <x:v>Shift</x:v>
      </x:c>
      <x:c r="D19" s="20" t="str">
        <x:v>冲刺无敌时长</x:v>
      </x:c>
      <x:c r="E19" s="20" t="str">
        <x:v>秒</x:v>
      </x:c>
      <x:c r="F19" s="58" t="n">
        <x:v>0.2</x:v>
      </x:c>
      <x:c r="G19" s="20" t="str">
        <x:v>[D-1]米，动作持续[D-2]秒，无敌持续[D-3]秒，基础冷却[D-4]秒。</x:v>
      </x:c>
    </x:row>
    <x:row r="20" ht="38" customHeight="1">
      <x:c r="A20" s="20" t="str">
        <x:v>晏归舟</x:v>
      </x:c>
      <x:c r="B20" s="20" t="str">
        <x:v>[D-4]</x:v>
      </x:c>
      <x:c r="C20" s="20" t="str">
        <x:v>Shift</x:v>
      </x:c>
      <x:c r="D20" s="20" t="str">
        <x:v>冲刺基础冷却</x:v>
      </x:c>
      <x:c r="E20" s="20" t="str">
        <x:v>秒</x:v>
      </x:c>
      <x:c r="F20" s="56" t="n">
        <x:v>4</x:v>
      </x:c>
      <x:c r="G20" s="20" t="str">
        <x:v>[D-2]秒，无敌持续[D-3]秒，基础冷却[D-4]秒。</x:v>
      </x:c>
    </x:row>
    <x:row r="21" ht="38" customHeight="1">
      <x:c r="A21" s="20" t="str">
        <x:v>弧翎</x:v>
      </x:c>
      <x:c r="B21" s="20" t="str">
        <x:v>[I-1]</x:v>
      </x:c>
      <x:c r="C21" s="20" t="str">
        <x:v>固有机制</x:v>
      </x:c>
      <x:c r="D21" s="20" t="str">
        <x:v>归翼齐射所需普攻次数</x:v>
      </x:c>
      <x:c r="E21" s="20" t="str">
        <x:v>次</x:v>
      </x:c>
      <x:c r="F21" s="56" t="n">
        <x:v>6</x:v>
      </x:c>
      <x:c r="G21" s="20" t="str">
        <x:v>机械翼轮流进行普通攻击；每完成[I-1]次普通攻击，触发「归翼齐射」，随后重置攻击序列。</x:v>
      </x:c>
    </x:row>
    <x:row r="22" ht="38" customHeight="1">
      <x:c r="A22" s="20" t="str">
        <x:v>弧翎</x:v>
      </x:c>
      <x:c r="B22" s="20" t="str">
        <x:v>[ATK-1]</x:v>
      </x:c>
      <x:c r="C22" s="20" t="str">
        <x:v>基础攻击</x:v>
      </x:c>
      <x:c r="D22" s="20" t="str">
        <x:v>基础攻速</x:v>
      </x:c>
      <x:c r="E22" s="20" t="str">
        <x:v>次/秒</x:v>
      </x:c>
      <x:c r="F22" s="56" t="n">
        <x:v>1</x:v>
      </x:c>
      <x:c r="G22" s="20" t="str">
        <x:v>基础攻速[ATK-1]次/秒，射程[ATK-2]米，光针速度[ATK-3]米/秒。普通</x:v>
      </x:c>
    </x:row>
    <x:row r="23" ht="38" customHeight="1">
      <x:c r="A23" s="20" t="str">
        <x:v>弧翎</x:v>
      </x:c>
      <x:c r="B23" s="20" t="str">
        <x:v>[ATK-2]</x:v>
      </x:c>
      <x:c r="C23" s="20" t="str">
        <x:v>基础攻击</x:v>
      </x:c>
      <x:c r="D23" s="20" t="str">
        <x:v>普攻射程</x:v>
      </x:c>
      <x:c r="E23" s="20" t="str">
        <x:v>米</x:v>
      </x:c>
      <x:c r="F23" s="56" t="n">
        <x:v>11</x:v>
      </x:c>
      <x:c r="G23" s="20" t="str">
        <x:v>基础攻速[ATK-1]次/秒，射程[ATK-2]米，光针速度[ATK-3]米/秒。普通光针造成[ATK-4]%A</x:v>
      </x:c>
    </x:row>
    <x:row r="24" ht="38" customHeight="1">
      <x:c r="A24" s="20" t="str">
        <x:v>弧翎</x:v>
      </x:c>
      <x:c r="B24" s="20" t="str">
        <x:v>[ATK-3]</x:v>
      </x:c>
      <x:c r="C24" s="20" t="str">
        <x:v>基础攻击</x:v>
      </x:c>
      <x:c r="D24" s="20" t="str">
        <x:v>光针速度</x:v>
      </x:c>
      <x:c r="E24" s="20" t="str">
        <x:v>米/秒</x:v>
      </x:c>
      <x:c r="F24" s="56" t="n">
        <x:v>30</x:v>
      </x:c>
      <x:c r="G24" s="20" t="str">
        <x:v>-1]次/秒，射程[ATK-2]米，光针速度[ATK-3]米/秒。普通光针造成[ATK-4]%AD普通伤害；归翼齐射造成[</x:v>
      </x:c>
    </x:row>
    <x:row r="25" ht="38" customHeight="1">
      <x:c r="A25" s="20" t="str">
        <x:v>弧翎</x:v>
      </x:c>
      <x:c r="B25" s="20" t="str">
        <x:v>[ATK-4]</x:v>
      </x:c>
      <x:c r="C25" s="20" t="str">
        <x:v>基础攻击</x:v>
      </x:c>
      <x:c r="D25" s="20" t="str">
        <x:v>普通光针AD系数</x:v>
      </x:c>
      <x:c r="E25" s="20" t="str">
        <x:v>%AD</x:v>
      </x:c>
      <x:c r="F25" s="56" t="n">
        <x:v>100</x:v>
      </x:c>
      <x:c r="G25" s="20" t="str">
        <x:v>，光针速度[ATK-3]米/秒。普通光针造成[ATK-4]%AD普通伤害；归翼齐射造成[ATK-5]%AD普通伤害，并额外</x:v>
      </x:c>
    </x:row>
    <x:row r="26" ht="38" customHeight="1">
      <x:c r="A26" s="20" t="str">
        <x:v>弧翎</x:v>
      </x:c>
      <x:c r="B26" s="20" t="str">
        <x:v>[ATK-5]</x:v>
      </x:c>
      <x:c r="C26" s="20" t="str">
        <x:v>基础攻击</x:v>
      </x:c>
      <x:c r="D26" s="20" t="str">
        <x:v>归翼齐射AD系数</x:v>
      </x:c>
      <x:c r="E26" s="20" t="str">
        <x:v>%AD</x:v>
      </x:c>
      <x:c r="F26" s="56" t="n">
        <x:v>140</x:v>
      </x:c>
      <x:c r="G26" s="20" t="str">
        <x:v>成[ATK-4]%AD普通伤害；归翼齐射造成[ATK-5]%AD普通伤害，并额外穿透[ATK-6]名敌人。</x:v>
      </x:c>
    </x:row>
    <x:row r="27" ht="38" customHeight="1">
      <x:c r="A27" s="20" t="str">
        <x:v>弧翎</x:v>
      </x:c>
      <x:c r="B27" s="20" t="str">
        <x:v>[ATK-6]</x:v>
      </x:c>
      <x:c r="C27" s="20" t="str">
        <x:v>基础攻击</x:v>
      </x:c>
      <x:c r="D27" s="20" t="str">
        <x:v>齐射额外穿透人数</x:v>
      </x:c>
      <x:c r="E27" s="20" t="str">
        <x:v>名</x:v>
      </x:c>
      <x:c r="F27" s="56" t="n">
        <x:v>1</x:v>
      </x:c>
      <x:c r="G27" s="20" t="str">
        <x:v>造成[ATK-5]%AD普通伤害，并额外穿透[ATK-6]名敌人。</x:v>
      </x:c>
    </x:row>
    <x:row r="28" ht="38" customHeight="1">
      <x:c r="A28" s="20" t="str">
        <x:v>弧翎</x:v>
      </x:c>
      <x:c r="B28" s="20" t="str">
        <x:v>[D-1]</x:v>
      </x:c>
      <x:c r="C28" s="20" t="str">
        <x:v>Shift</x:v>
      </x:c>
      <x:c r="D28" s="20" t="str">
        <x:v>冲刺距离</x:v>
      </x:c>
      <x:c r="E28" s="20" t="str">
        <x:v>米</x:v>
      </x:c>
      <x:c r="F28" s="58" t="n">
        <x:v>4.5</x:v>
      </x:c>
      <x:c r="G28" s="20" t="str">
        <x:v>向移动输入方向进行机械推进，距离[D-1]米、持续[D-2]秒，无敌持续[D-3]秒；未输入移动方向时沿当</x:v>
      </x:c>
    </x:row>
    <x:row r="29" ht="38" customHeight="1">
      <x:c r="A29" s="20" t="str">
        <x:v>弧翎</x:v>
      </x:c>
      <x:c r="B29" s="20" t="str">
        <x:v>[D-2]</x:v>
      </x:c>
      <x:c r="C29" s="20" t="str">
        <x:v>Shift</x:v>
      </x:c>
      <x:c r="D29" s="20" t="str">
        <x:v>冲刺动作时长</x:v>
      </x:c>
      <x:c r="E29" s="20" t="str">
        <x:v>秒</x:v>
      </x:c>
      <x:c r="F29" s="58" t="n">
        <x:v>0.25</x:v>
      </x:c>
      <x:c r="G29" s="20" t="str">
        <x:v>输入方向进行机械推进，距离[D-1]米、持续[D-2]秒，无敌持续[D-3]秒；未输入移动方向时沿当前朝向推进。基础冷</x:v>
      </x:c>
    </x:row>
    <x:row r="30" ht="38" customHeight="1">
      <x:c r="A30" s="20" t="str">
        <x:v>弧翎</x:v>
      </x:c>
      <x:c r="B30" s="20" t="str">
        <x:v>[D-3]</x:v>
      </x:c>
      <x:c r="C30" s="20" t="str">
        <x:v>Shift</x:v>
      </x:c>
      <x:c r="D30" s="20" t="str">
        <x:v>冲刺无敌时长</x:v>
      </x:c>
      <x:c r="E30" s="20" t="str">
        <x:v>秒</x:v>
      </x:c>
      <x:c r="F30" s="58" t="n">
        <x:v>0.2</x:v>
      </x:c>
      <x:c r="G30" s="20" t="str">
        <x:v>距离[D-1]米、持续[D-2]秒，无敌持续[D-3]秒；未输入移动方向时沿当前朝向推进。基础冷却[D-4]秒。</x:v>
      </x:c>
    </x:row>
    <x:row r="31" ht="38" customHeight="1">
      <x:c r="A31" s="20" t="str">
        <x:v>弧翎</x:v>
      </x:c>
      <x:c r="B31" s="20" t="str">
        <x:v>[D-4]</x:v>
      </x:c>
      <x:c r="C31" s="20" t="str">
        <x:v>Shift</x:v>
      </x:c>
      <x:c r="D31" s="20" t="str">
        <x:v>冲刺基础冷却</x:v>
      </x:c>
      <x:c r="E31" s="20" t="str">
        <x:v>秒</x:v>
      </x:c>
      <x:c r="F31" s="56" t="n">
        <x:v>4</x:v>
      </x:c>
      <x:c r="G31" s="20" t="str">
        <x:v>秒；未输入移动方向时沿当前朝向推进。基础冷却[D-4]秒。</x:v>
      </x:c>
    </x:row>
    <x:row r="32" ht="38" customHeight="1">
      <x:c r="A32" s="20" t="str">
        <x:v>玄垒</x:v>
      </x:c>
      <x:c r="B32" s="20" t="str">
        <x:v>[ATK-1]</x:v>
      </x:c>
      <x:c r="C32" s="20" t="str">
        <x:v>基础攻击</x:v>
      </x:c>
      <x:c r="D32" s="20" t="str">
        <x:v>普攻循环段数</x:v>
      </x:c>
      <x:c r="E32" s="20" t="str">
        <x:v>点</x:v>
      </x:c>
      <x:c r="F32" s="56" t="n">
        <x:v>3</x:v>
      </x:c>
      <x:c r="G32" s="20" t="str">
        <x:v>普通攻击按[ATK-1]段循环，普通段造成[ATK-2]%AD普通伤害，末段「叩门」造成</x:v>
      </x:c>
    </x:row>
    <x:row r="33" ht="38" customHeight="1">
      <x:c r="A33" s="20" t="str">
        <x:v>玄垒</x:v>
      </x:c>
      <x:c r="B33" s="20" t="str">
        <x:v>[ATK-2]</x:v>
      </x:c>
      <x:c r="C33" s="20" t="str">
        <x:v>基础攻击</x:v>
      </x:c>
      <x:c r="D33" s="20" t="str">
        <x:v>普通段AD系数</x:v>
      </x:c>
      <x:c r="E33" s="20" t="str">
        <x:v>%AD</x:v>
      </x:c>
      <x:c r="F33" s="56" t="n">
        <x:v>100</x:v>
      </x:c>
      <x:c r="G33" s="20" t="str">
        <x:v>普通攻击按[ATK-1]段循环，普通段造成[ATK-2]%AD普通伤害，末段「叩门」造成[ATK-3]%AD普通伤害并击</x:v>
      </x:c>
    </x:row>
    <x:row r="34" ht="38" customHeight="1">
      <x:c r="A34" s="20" t="str">
        <x:v>玄垒</x:v>
      </x:c>
      <x:c r="B34" s="20" t="str">
        <x:v>[ATK-3]</x:v>
      </x:c>
      <x:c r="C34" s="20" t="str">
        <x:v>基础攻击</x:v>
      </x:c>
      <x:c r="D34" s="20" t="str">
        <x:v>叩门AD系数</x:v>
      </x:c>
      <x:c r="E34" s="20" t="str">
        <x:v>%AD</x:v>
      </x:c>
      <x:c r="F34" s="56" t="n">
        <x:v>120</x:v>
      </x:c>
      <x:c r="G34" s="20" t="str">
        <x:v>ATK-2]%AD普通伤害，末段「叩门」造成[ATK-3]%AD普通伤害并击退普通敌人[ATK-4]米。基础攻速[ATK-</x:v>
      </x:c>
    </x:row>
    <x:row r="35" ht="38" customHeight="1">
      <x:c r="A35" s="20" t="str">
        <x:v>玄垒</x:v>
      </x:c>
      <x:c r="B35" s="20" t="str">
        <x:v>[ATK-4]</x:v>
      </x:c>
      <x:c r="C35" s="20" t="str">
        <x:v>基础攻击</x:v>
      </x:c>
      <x:c r="D35" s="20" t="str">
        <x:v>叩门击退距离</x:v>
      </x:c>
      <x:c r="E35" s="20" t="str">
        <x:v>米</x:v>
      </x:c>
      <x:c r="F35" s="58" t="n">
        <x:v>0.4</x:v>
      </x:c>
      <x:c r="G35" s="20" t="str">
        <x:v>成[ATK-3]%AD普通伤害并击退普通敌人[ATK-4]米。基础攻速[ATK-5]次/秒，攻击距离[ATK-6]米、扇形</x:v>
      </x:c>
    </x:row>
    <x:row r="36" ht="38" customHeight="1">
      <x:c r="A36" s="20" t="str">
        <x:v>玄垒</x:v>
      </x:c>
      <x:c r="B36" s="20" t="str">
        <x:v>[ATK-5]</x:v>
      </x:c>
      <x:c r="C36" s="20" t="str">
        <x:v>基础攻击</x:v>
      </x:c>
      <x:c r="D36" s="20" t="str">
        <x:v>基础攻速</x:v>
      </x:c>
      <x:c r="E36" s="20" t="str">
        <x:v>次/秒</x:v>
      </x:c>
      <x:c r="F36" s="58" t="n">
        <x:v>0.82</x:v>
      </x:c>
      <x:c r="G36" s="20" t="str">
        <x:v>伤害并击退普通敌人[ATK-4]米。基础攻速[ATK-5]次/秒，攻击距离[ATK-6]米、扇形角度[ATK-7]度。</x:v>
      </x:c>
    </x:row>
    <x:row r="37" ht="38" customHeight="1">
      <x:c r="A37" s="20" t="str">
        <x:v>玄垒</x:v>
      </x:c>
      <x:c r="B37" s="20" t="str">
        <x:v>[ATK-6]</x:v>
      </x:c>
      <x:c r="C37" s="20" t="str">
        <x:v>基础攻击</x:v>
      </x:c>
      <x:c r="D37" s="20" t="str">
        <x:v>普攻距离</x:v>
      </x:c>
      <x:c r="E37" s="20" t="str">
        <x:v>米</x:v>
      </x:c>
      <x:c r="F37" s="58" t="n">
        <x:v>2.8</x:v>
      </x:c>
      <x:c r="G37" s="20" t="str">
        <x:v>]米。基础攻速[ATK-5]次/秒，攻击距离[ATK-6]米、扇形角度[ATK-7]度。</x:v>
      </x:c>
    </x:row>
    <x:row r="38" ht="38" customHeight="1">
      <x:c r="A38" s="20" t="str">
        <x:v>玄垒</x:v>
      </x:c>
      <x:c r="B38" s="20" t="str">
        <x:v>[ATK-7]</x:v>
      </x:c>
      <x:c r="C38" s="20" t="str">
        <x:v>基础攻击</x:v>
      </x:c>
      <x:c r="D38" s="20" t="str">
        <x:v>普攻扇角</x:v>
      </x:c>
      <x:c r="E38" s="20" t="str">
        <x:v>度</x:v>
      </x:c>
      <x:c r="F38" s="56" t="n">
        <x:v>105</x:v>
      </x:c>
      <x:c r="G38" s="20" t="str">
        <x:v>]次/秒，攻击距离[ATK-6]米、扇形角度[ATK-7]度。</x:v>
      </x:c>
    </x:row>
    <x:row r="39" ht="38" customHeight="1">
      <x:c r="A39" s="20" t="str">
        <x:v>玄垒</x:v>
      </x:c>
      <x:c r="B39" s="20" t="str">
        <x:v>[D-1]</x:v>
      </x:c>
      <x:c r="C39" s="20" t="str">
        <x:v>Shift</x:v>
      </x:c>
      <x:c r="D39" s="20" t="str">
        <x:v>冲刺距离</x:v>
      </x:c>
      <x:c r="E39" s="20" t="str">
        <x:v>米</x:v>
      </x:c>
      <x:c r="F39" s="58" t="n">
        <x:v>4.2</x:v>
      </x:c>
      <x:c r="G39" s="20" t="str">
        <x:v>向移动输入方向冲刺[D-1]米，持续[D-2]秒；未输入移动方向时沿当前朝向冲刺。无敌持续[</x:v>
      </x:c>
    </x:row>
    <x:row r="40" ht="38" customHeight="1">
      <x:c r="A40" s="20" t="str">
        <x:v>玄垒</x:v>
      </x:c>
      <x:c r="B40" s="20" t="str">
        <x:v>[D-2]</x:v>
      </x:c>
      <x:c r="C40" s="20" t="str">
        <x:v>Shift</x:v>
      </x:c>
      <x:c r="D40" s="20" t="str">
        <x:v>冲刺动作时长</x:v>
      </x:c>
      <x:c r="E40" s="20" t="str">
        <x:v>秒</x:v>
      </x:c>
      <x:c r="F40" s="58" t="n">
        <x:v>0.28</x:v>
      </x:c>
      <x:c r="G40" s="20" t="str">
        <x:v>向移动输入方向冲刺[D-1]米，持续[D-2]秒；未输入移动方向时沿当前朝向冲刺。无敌持续[D-3]秒，基础冷</x:v>
      </x:c>
    </x:row>
    <x:row r="41" ht="38" customHeight="1">
      <x:c r="A41" s="20" t="str">
        <x:v>玄垒</x:v>
      </x:c>
      <x:c r="B41" s="20" t="str">
        <x:v>[D-3]</x:v>
      </x:c>
      <x:c r="C41" s="20" t="str">
        <x:v>Shift</x:v>
      </x:c>
      <x:c r="D41" s="20" t="str">
        <x:v>冲刺无敌时长</x:v>
      </x:c>
      <x:c r="E41" s="20" t="str">
        <x:v>秒</x:v>
      </x:c>
      <x:c r="F41" s="58" t="n">
        <x:v>0.2</x:v>
      </x:c>
      <x:c r="G41" s="20" t="str">
        <x:v>秒；未输入移动方向时沿当前朝向冲刺。无敌持续[D-3]秒，基础冷却[D-4]秒。</x:v>
      </x:c>
    </x:row>
    <x:row r="42" ht="38" customHeight="1">
      <x:c r="A42" s="20" t="str">
        <x:v>玄垒</x:v>
      </x:c>
      <x:c r="B42" s="20" t="str">
        <x:v>[D-4]</x:v>
      </x:c>
      <x:c r="C42" s="20" t="str">
        <x:v>Shift</x:v>
      </x:c>
      <x:c r="D42" s="20" t="str">
        <x:v>冲刺基础冷却</x:v>
      </x:c>
      <x:c r="E42" s="20" t="str">
        <x:v>秒</x:v>
      </x:c>
      <x:c r="F42" s="56" t="n">
        <x:v>4</x:v>
      </x:c>
      <x:c r="G42" s="20" t="str">
        <x:v>当前朝向冲刺。无敌持续[D-3]秒，基础冷却[D-4]秒。</x:v>
      </x:c>
    </x:row>
    <x:row r="43" ht="38" customHeight="1">
      <x:c r="A43" s="20" t="str">
        <x:v>赫兹</x:v>
      </x:c>
      <x:c r="B43" s="20" t="str">
        <x:v>[I-1]</x:v>
      </x:c>
      <x:c r="C43" s="20" t="str">
        <x:v>固有机制</x:v>
      </x:c>
      <x:c r="D43" s="20" t="str">
        <x:v>初始车厢</x:v>
      </x:c>
      <x:c r="E43" s="20" t="str">
        <x:v>节</x:v>
      </x:c>
      <x:c r="F43" s="56" t="n">
        <x:v>2</x:v>
      </x:c>
      <x:c r="G43" s="20" t="str">
        <x:v>开局拥有[I-1]节车厢，最多[I-2]节。普通攻击命中获得[I-3]蒸汽，技能命</x:v>
      </x:c>
    </x:row>
    <x:row r="44" ht="38" customHeight="1">
      <x:c r="A44" s="20" t="str">
        <x:v>赫兹</x:v>
      </x:c>
      <x:c r="B44" s="20" t="str">
        <x:v>[I-2]</x:v>
      </x:c>
      <x:c r="C44" s="20" t="str">
        <x:v>固有机制</x:v>
      </x:c>
      <x:c r="D44" s="20" t="str">
        <x:v>最大车厢</x:v>
      </x:c>
      <x:c r="E44" s="20" t="str">
        <x:v>节</x:v>
      </x:c>
      <x:c r="F44" s="56" t="n">
        <x:v>6</x:v>
      </x:c>
      <x:c r="G44" s="20" t="str">
        <x:v>开局拥有[I-1]节车厢，最多[I-2]节。普通攻击命中获得[I-3]蒸汽，技能命中获得[I-4]蒸汽，</x:v>
      </x:c>
    </x:row>
    <x:row r="45" ht="38" customHeight="1">
      <x:c r="A45" s="20" t="str">
        <x:v>赫兹</x:v>
      </x:c>
      <x:c r="B45" s="20" t="str">
        <x:v>[I-3]</x:v>
      </x:c>
      <x:c r="C45" s="20" t="str">
        <x:v>固有机制</x:v>
      </x:c>
      <x:c r="D45" s="20" t="str">
        <x:v>普攻命中蒸汽</x:v>
      </x:c>
      <x:c r="E45" s="20" t="str">
        <x:v>点</x:v>
      </x:c>
      <x:c r="F45" s="56" t="n">
        <x:v>3</x:v>
      </x:c>
      <x:c r="G45" s="20" t="str">
        <x:v>]节车厢，最多[I-2]节。普通攻击命中获得[I-3]蒸汽，技能命中获得[I-4]蒸汽，完成击杀获得[I-5]蒸汽；对</x:v>
      </x:c>
    </x:row>
    <x:row r="46" ht="38" customHeight="1">
      <x:c r="A46" s="20" t="str">
        <x:v>赫兹</x:v>
      </x:c>
      <x:c r="B46" s="20" t="str">
        <x:v>[I-4]</x:v>
      </x:c>
      <x:c r="C46" s="20" t="str">
        <x:v>固有机制</x:v>
      </x:c>
      <x:c r="D46" s="20" t="str">
        <x:v>技能命中蒸汽</x:v>
      </x:c>
      <x:c r="E46" s="20" t="str">
        <x:v>点</x:v>
      </x:c>
      <x:c r="F46" s="58" t="n">
        <x:v>0.6</x:v>
      </x:c>
      <x:c r="G46" s="20" t="str">
        <x:v>普通攻击命中获得[I-3]蒸汽，技能命中获得[I-4]蒸汽，完成击杀获得[I-5]蒸汽；对精英或Boss持续造成伤害时</x:v>
      </x:c>
    </x:row>
    <x:row r="47" ht="38" customHeight="1">
      <x:c r="A47" s="20" t="str">
        <x:v>赫兹</x:v>
      </x:c>
      <x:c r="B47" s="20" t="str">
        <x:v>[I-5]</x:v>
      </x:c>
      <x:c r="C47" s="20" t="str">
        <x:v>固有机制</x:v>
      </x:c>
      <x:c r="D47" s="20" t="str">
        <x:v>击杀蒸汽</x:v>
      </x:c>
      <x:c r="E47" s="20" t="str">
        <x:v>点</x:v>
      </x:c>
      <x:c r="F47" s="56" t="n">
        <x:v>8</x:v>
      </x:c>
      <x:c r="G47" s="20" t="str">
        <x:v>汽，技能命中获得[I-4]蒸汽，完成击杀获得[I-5]蒸汽；对精英或Boss持续造成伤害时，每[I-6]次有效伤害额外</x:v>
      </x:c>
    </x:row>
    <x:row r="48" ht="38" customHeight="1">
      <x:c r="A48" s="20" t="str">
        <x:v>赫兹</x:v>
      </x:c>
      <x:c r="B48" s="20" t="str">
        <x:v>[I-6]</x:v>
      </x:c>
      <x:c r="C48" s="20" t="str">
        <x:v>固有机制</x:v>
      </x:c>
      <x:c r="D48" s="20" t="str">
        <x:v>精英Boss有效命中阈值</x:v>
      </x:c>
      <x:c r="E48" s="20" t="str">
        <x:v>次</x:v>
      </x:c>
      <x:c r="F48" s="56" t="n">
        <x:v>5</x:v>
      </x:c>
      <x:c r="G48" s="20" t="str">
        <x:v>5]蒸汽；对精英或Boss持续造成伤害时，每[I-6]次有效伤害额外获得[I-7]蒸汽，同一目标计入间隔[I-8]秒。</x:v>
      </x:c>
    </x:row>
    <x:row r="49" ht="38" customHeight="1">
      <x:c r="A49" s="20" t="str">
        <x:v>赫兹</x:v>
      </x:c>
      <x:c r="B49" s="20" t="str">
        <x:v>[I-7]</x:v>
      </x:c>
      <x:c r="C49" s="20" t="str">
        <x:v>固有机制</x:v>
      </x:c>
      <x:c r="D49" s="20" t="str">
        <x:v>精英Boss额外蒸汽</x:v>
      </x:c>
      <x:c r="E49" s="20" t="str">
        <x:v>点</x:v>
      </x:c>
      <x:c r="F49" s="56" t="n">
        <x:v>5</x:v>
      </x:c>
      <x:c r="G49" s="20" t="str">
        <x:v>续造成伤害时，每[I-6]次有效伤害额外获得[I-7]蒸汽，同一目标计入间隔[I-8]秒。蒸汽达到[I-9]时自动增加</x:v>
      </x:c>
    </x:row>
    <x:row r="50" ht="38" customHeight="1">
      <x:c r="A50" s="20" t="str">
        <x:v>赫兹</x:v>
      </x:c>
      <x:c r="B50" s="20" t="str">
        <x:v>[I-8]</x:v>
      </x:c>
      <x:c r="C50" s="20" t="str">
        <x:v>固有机制</x:v>
      </x:c>
      <x:c r="D50" s="20" t="str">
        <x:v>同目标计入间隔</x:v>
      </x:c>
      <x:c r="E50" s="20" t="str">
        <x:v>秒</x:v>
      </x:c>
      <x:c r="F50" s="58" t="n">
        <x:v>0.25</x:v>
      </x:c>
      <x:c r="G50" s="20" t="str">
        <x:v>伤害额外获得[I-7]蒸汽，同一目标计入间隔[I-8]秒。蒸汽达到[I-9]时自动增加[I-10]节车厢；满编后仍可积</x:v>
      </x:c>
    </x:row>
    <x:row r="51" ht="38" customHeight="1">
      <x:c r="A51" s="20" t="str">
        <x:v>赫兹</x:v>
      </x:c>
      <x:c r="B51" s="20" t="str">
        <x:v>[I-9]</x:v>
      </x:c>
      <x:c r="C51" s="20" t="str">
        <x:v>固有机制</x:v>
      </x:c>
      <x:c r="D51" s="20" t="str">
        <x:v>一节车厢所需蒸汽</x:v>
      </x:c>
      <x:c r="E51" s="20" t="str">
        <x:v>点</x:v>
      </x:c>
      <x:c r="F51" s="56" t="n">
        <x:v>100</x:v>
      </x:c>
      <x:c r="G51" s="20" t="str">
        <x:v>蒸汽，同一目标计入间隔[I-8]秒。蒸汽达到[I-9]时自动增加[I-10]节车厢；满编后仍可积攒蒸汽。每节车厢每隔[</x:v>
      </x:c>
    </x:row>
    <x:row r="52" ht="38" customHeight="1">
      <x:c r="A52" s="20" t="str">
        <x:v>赫兹</x:v>
      </x:c>
      <x:c r="B52" s="20" t="str">
        <x:v>[I-10]</x:v>
      </x:c>
      <x:c r="C52" s="20" t="str">
        <x:v>固有机制</x:v>
      </x:c>
      <x:c r="D52" s="20" t="str">
        <x:v>每次增加车厢</x:v>
      </x:c>
      <x:c r="E52" s="20" t="str">
        <x:v>节</x:v>
      </x:c>
      <x:c r="F52" s="56" t="n">
        <x:v>1</x:v>
      </x:c>
      <x:c r="G52" s="20" t="str">
        <x:v>隔[I-8]秒。蒸汽达到[I-9]时自动增加[I-10]节车厢；满编后仍可积攒蒸汽。每节车厢每隔[I-11]秒攻击[I-</x:v>
      </x:c>
    </x:row>
    <x:row r="53" ht="38" customHeight="1">
      <x:c r="A53" s="20" t="str">
        <x:v>赫兹</x:v>
      </x:c>
      <x:c r="B53" s="20" t="str">
        <x:v>[I-11]</x:v>
      </x:c>
      <x:c r="C53" s="20" t="str">
        <x:v>固有机制</x:v>
      </x:c>
      <x:c r="D53" s="20" t="str">
        <x:v>辅助射击间隔</x:v>
      </x:c>
      <x:c r="E53" s="20" t="str">
        <x:v>秒</x:v>
      </x:c>
      <x:c r="F53" s="58" t="n">
        <x:v>1.25</x:v>
      </x:c>
      <x:c r="G53" s="20" t="str">
        <x:v>0]节车厢；满编后仍可积攒蒸汽。每节车厢每隔[I-11]秒攻击[I-12]米内的敌人，造成[I-13]%AD普通伤害。</x:v>
      </x:c>
    </x:row>
    <x:row r="54" ht="38" customHeight="1">
      <x:c r="A54" s="20" t="str">
        <x:v>赫兹</x:v>
      </x:c>
      <x:c r="B54" s="20" t="str">
        <x:v>[I-12]</x:v>
      </x:c>
      <x:c r="C54" s="20" t="str">
        <x:v>固有机制</x:v>
      </x:c>
      <x:c r="D54" s="20" t="str">
        <x:v>辅助射程</x:v>
      </x:c>
      <x:c r="E54" s="20" t="str">
        <x:v>米</x:v>
      </x:c>
      <x:c r="F54" s="56" t="n">
        <x:v>8</x:v>
      </x:c>
      <x:c r="G54" s="20" t="str">
        <x:v>仍可积攒蒸汽。每节车厢每隔[I-11]秒攻击[I-12]米内的敌人，造成[I-13]%AD普通伤害。</x:v>
      </x:c>
    </x:row>
    <x:row r="55" ht="38" customHeight="1">
      <x:c r="A55" s="20" t="str">
        <x:v>赫兹</x:v>
      </x:c>
      <x:c r="B55" s="20" t="str">
        <x:v>[I-13]</x:v>
      </x:c>
      <x:c r="C55" s="20" t="str">
        <x:v>固有机制</x:v>
      </x:c>
      <x:c r="D55" s="20" t="str">
        <x:v>辅助射击AD系数</x:v>
      </x:c>
      <x:c r="E55" s="20" t="str">
        <x:v>%AD</x:v>
      </x:c>
      <x:c r="F55" s="56" t="n">
        <x:v>16</x:v>
      </x:c>
      <x:c r="G55" s="20" t="str">
        <x:v>I-11]秒攻击[I-12]米内的敌人，造成[I-13]%AD普通伤害。</x:v>
      </x:c>
    </x:row>
    <x:row r="56" ht="38" customHeight="1">
      <x:c r="A56" s="20" t="str">
        <x:v>赫兹</x:v>
      </x:c>
      <x:c r="B56" s="20" t="str">
        <x:v>[ATK-1]</x:v>
      </x:c>
      <x:c r="C56" s="20" t="str">
        <x:v>基础攻击</x:v>
      </x:c>
      <x:c r="D56" s="20" t="str">
        <x:v>车首炮AD系数</x:v>
      </x:c>
      <x:c r="E56" s="20" t="str">
        <x:v>%AD</x:v>
      </x:c>
      <x:c r="F56" s="56" t="n">
        <x:v>100</x:v>
      </x:c>
      <x:c r="G56" s="20" t="str">
        <x:v>车首炮造成[ATK-1]%AD普通伤害，在命中点半径[ATK-2]米内爆炸。基础攻速[A</x:v>
      </x:c>
    </x:row>
    <x:row r="57" ht="38" customHeight="1">
      <x:c r="A57" s="20" t="str">
        <x:v>赫兹</x:v>
      </x:c>
      <x:c r="B57" s="20" t="str">
        <x:v>[ATK-2]</x:v>
      </x:c>
      <x:c r="C57" s="20" t="str">
        <x:v>基础攻击</x:v>
      </x:c>
      <x:c r="D57" s="20" t="str">
        <x:v>爆炸半径</x:v>
      </x:c>
      <x:c r="E57" s="20" t="str">
        <x:v>米</x:v>
      </x:c>
      <x:c r="F57" s="58" t="n">
        <x:v>1.2</x:v>
      </x:c>
      <x:c r="G57" s="20" t="str">
        <x:v>成[ATK-1]%AD普通伤害，在命中点半径[ATK-2]米内爆炸。基础攻速[ATK-3]次/秒，射程[ATK-4]米，炮</x:v>
      </x:c>
    </x:row>
    <x:row r="58" ht="38" customHeight="1">
      <x:c r="A58" s="20" t="str">
        <x:v>赫兹</x:v>
      </x:c>
      <x:c r="B58" s="20" t="str">
        <x:v>[ATK-3]</x:v>
      </x:c>
      <x:c r="C58" s="20" t="str">
        <x:v>基础攻击</x:v>
      </x:c>
      <x:c r="D58" s="20" t="str">
        <x:v>基础攻速</x:v>
      </x:c>
      <x:c r="E58" s="20" t="str">
        <x:v>次/秒</x:v>
      </x:c>
      <x:c r="F58" s="58" t="n">
        <x:v>0.9</x:v>
      </x:c>
      <x:c r="G58" s="20" t="str">
        <x:v>在命中点半径[ATK-2]米内爆炸。基础攻速[ATK-3]次/秒，射程[ATK-4]米，炮弹速度[ATK-5]米/秒。</x:v>
      </x:c>
    </x:row>
    <x:row r="59" ht="38" customHeight="1">
      <x:c r="A59" s="20" t="str">
        <x:v>赫兹</x:v>
      </x:c>
      <x:c r="B59" s="20" t="str">
        <x:v>[ATK-4]</x:v>
      </x:c>
      <x:c r="C59" s="20" t="str">
        <x:v>基础攻击</x:v>
      </x:c>
      <x:c r="D59" s="20" t="str">
        <x:v>车首炮射程</x:v>
      </x:c>
      <x:c r="E59" s="20" t="str">
        <x:v>米</x:v>
      </x:c>
      <x:c r="F59" s="56" t="n">
        <x:v>9</x:v>
      </x:c>
      <x:c r="G59" s="20" t="str">
        <x:v>米内爆炸。基础攻速[ATK-3]次/秒，射程[ATK-4]米，炮弹速度[ATK-5]米/秒。</x:v>
      </x:c>
    </x:row>
    <x:row r="60" ht="38" customHeight="1">
      <x:c r="A60" s="20" t="str">
        <x:v>赫兹</x:v>
      </x:c>
      <x:c r="B60" s="20" t="str">
        <x:v>[ATK-5]</x:v>
      </x:c>
      <x:c r="C60" s="20" t="str">
        <x:v>基础攻击</x:v>
      </x:c>
      <x:c r="D60" s="20" t="str">
        <x:v>炮弹速度</x:v>
      </x:c>
      <x:c r="E60" s="20" t="str">
        <x:v>米/秒</x:v>
      </x:c>
      <x:c r="F60" s="56" t="n">
        <x:v>22</x:v>
      </x:c>
      <x:c r="G60" s="20" t="str">
        <x:v>-3]次/秒，射程[ATK-4]米，炮弹速度[ATK-5]米/秒。</x:v>
      </x:c>
    </x:row>
    <x:row r="61" ht="38" customHeight="1">
      <x:c r="A61" s="20" t="str">
        <x:v>赫兹</x:v>
      </x:c>
      <x:c r="B61" s="20" t="str">
        <x:v>[D-1]</x:v>
      </x:c>
      <x:c r="C61" s="20" t="str">
        <x:v>Shift</x:v>
      </x:c>
      <x:c r="D61" s="20" t="str">
        <x:v>冲刺距离</x:v>
      </x:c>
      <x:c r="E61" s="20" t="str">
        <x:v>米</x:v>
      </x:c>
      <x:c r="F61" s="58" t="n">
        <x:v>4.5</x:v>
      </x:c>
      <x:c r="G61" s="20" t="str">
        <x:v>车头沿移动输入方向喷射推进[D-1]米，持续[D-2]秒，车厢沿原轨迹跟随；未输入移动方向时沿当前朝</x:v>
      </x:c>
    </x:row>
    <x:row r="62" ht="38" customHeight="1">
      <x:c r="A62" s="20" t="str">
        <x:v>赫兹</x:v>
      </x:c>
      <x:c r="B62" s="20" t="str">
        <x:v>[D-2]</x:v>
      </x:c>
      <x:c r="C62" s="20" t="str">
        <x:v>Shift</x:v>
      </x:c>
      <x:c r="D62" s="20" t="str">
        <x:v>冲刺动作时长</x:v>
      </x:c>
      <x:c r="E62" s="20" t="str">
        <x:v>秒</x:v>
      </x:c>
      <x:c r="F62" s="58" t="n">
        <x:v>0.28</x:v>
      </x:c>
      <x:c r="G62" s="20" t="str">
        <x:v>车头沿移动输入方向喷射推进[D-1]米，持续[D-2]秒，车厢沿原轨迹跟随；未输入移动方向时沿当前朝向推进。无敌持续[</x:v>
      </x:c>
    </x:row>
    <x:row r="63" ht="38" customHeight="1">
      <x:c r="A63" s="20" t="str">
        <x:v>赫兹</x:v>
      </x:c>
      <x:c r="B63" s="20" t="str">
        <x:v>[D-3]</x:v>
      </x:c>
      <x:c r="C63" s="20" t="str">
        <x:v>Shift</x:v>
      </x:c>
      <x:c r="D63" s="20" t="str">
        <x:v>冲刺无敌时长</x:v>
      </x:c>
      <x:c r="E63" s="20" t="str">
        <x:v>秒</x:v>
      </x:c>
      <x:c r="F63" s="58" t="n">
        <x:v>0.2</x:v>
      </x:c>
      <x:c r="G63" s="20" t="str">
        <x:v>随；未输入移动方向时沿当前朝向推进。无敌持续[D-3]秒，基础冷却[D-4]秒。</x:v>
      </x:c>
    </x:row>
    <x:row r="64" ht="38" customHeight="1">
      <x:c r="A64" s="20" t="str">
        <x:v>赫兹</x:v>
      </x:c>
      <x:c r="B64" s="20" t="str">
        <x:v>[D-4]</x:v>
      </x:c>
      <x:c r="C64" s="20" t="str">
        <x:v>Shift</x:v>
      </x:c>
      <x:c r="D64" s="20" t="str">
        <x:v>冲刺基础冷却</x:v>
      </x:c>
      <x:c r="E64" s="20" t="str">
        <x:v>秒</x:v>
      </x:c>
      <x:c r="F64" s="56" t="n">
        <x:v>4</x:v>
      </x:c>
      <x:c r="G64" s="20" t="str">
        <x:v>当前朝向推进。无敌持续[D-3]秒，基础冷却[D-4]秒。</x:v>
      </x:c>
    </x:row>
    <x:row r="65" ht="38" customHeight="1">
      <x:c r="A65" s="20" t="str">
        <x:v>弥罗</x:v>
      </x:c>
      <x:c r="B65" s="20" t="str">
        <x:v>[I-1]</x:v>
      </x:c>
      <x:c r="C65" s="20" t="str">
        <x:v>固有机制</x:v>
      </x:c>
      <x:c r="D65" s="20" t="str">
        <x:v>食质上限</x:v>
      </x:c>
      <x:c r="E65" s="20" t="str">
        <x:v>格</x:v>
      </x:c>
      <x:c r="F65" s="56" t="n">
        <x:v>6</x:v>
      </x:c>
      <x:c r="G65" s="20" t="str">
        <x:v>拥有[I-1]格食质。参与击杀普通敌人获得[I-2]格，参与击杀精英获得[I-</x:v>
      </x:c>
    </x:row>
    <x:row r="66" ht="38" customHeight="1">
      <x:c r="A66" s="20" t="str">
        <x:v>弥罗</x:v>
      </x:c>
      <x:c r="B66" s="20" t="str">
        <x:v>[I-2]</x:v>
      </x:c>
      <x:c r="C66" s="20" t="str">
        <x:v>固有机制</x:v>
      </x:c>
      <x:c r="D66" s="20" t="str">
        <x:v>普通怪参与击杀食质</x:v>
      </x:c>
      <x:c r="E66" s="20" t="str">
        <x:v>格</x:v>
      </x:c>
      <x:c r="F66" s="56" t="n">
        <x:v>1</x:v>
      </x:c>
      <x:c r="G66" s="20" t="str">
        <x:v>拥有[I-1]格食质。参与击杀普通敌人获得[I-2]格，参与击杀精英获得[I-3]格；对Boss累计造成相当于其最大</x:v>
      </x:c>
    </x:row>
    <x:row r="67" ht="38" customHeight="1">
      <x:c r="A67" s="20" t="str">
        <x:v>弥罗</x:v>
      </x:c>
      <x:c r="B67" s="20" t="str">
        <x:v>[I-3]</x:v>
      </x:c>
      <x:c r="C67" s="20" t="str">
        <x:v>固有机制</x:v>
      </x:c>
      <x:c r="D67" s="20" t="str">
        <x:v>精英参与击杀食质</x:v>
      </x:c>
      <x:c r="E67" s="20" t="str">
        <x:v>格</x:v>
      </x:c>
      <x:c r="F67" s="56" t="n">
        <x:v>2</x:v>
      </x:c>
      <x:c r="G67" s="20" t="str">
        <x:v>杀普通敌人获得[I-2]格，参与击杀精英获得[I-3]格；对Boss累计造成相当于其最大生命[I-4]%的有效伤害时获</x:v>
      </x:c>
    </x:row>
    <x:row r="68" ht="38" customHeight="1">
      <x:c r="A68" s="20" t="str">
        <x:v>弥罗</x:v>
      </x:c>
      <x:c r="B68" s="20" t="str">
        <x:v>[I-4]</x:v>
      </x:c>
      <x:c r="C68" s="20" t="str">
        <x:v>固有机制</x:v>
      </x:c>
      <x:c r="D68" s="20" t="str">
        <x:v>Boss伤害获食质阈值</x:v>
      </x:c>
      <x:c r="E68" s="20" t="str">
        <x:v>%</x:v>
      </x:c>
      <x:c r="F68" s="58" t="n">
        <x:v>0.75</x:v>
      </x:c>
      <x:c r="G68" s="20" t="str">
        <x:v>-3]格；对Boss累计造成相当于其最大生命[I-4]%的有效伤害时获得[I-5]格。除「消化」外，Q/E在有食质时自</x:v>
      </x:c>
    </x:row>
    <x:row r="69" ht="38" customHeight="1">
      <x:c r="A69" s="20" t="str">
        <x:v>弥罗</x:v>
      </x:c>
      <x:c r="B69" s="20" t="str">
        <x:v>[I-5]</x:v>
      </x:c>
      <x:c r="C69" s="20" t="str">
        <x:v>固有机制</x:v>
      </x:c>
      <x:c r="D69" s="20" t="str">
        <x:v>Boss伤害食质奖励</x:v>
      </x:c>
      <x:c r="E69" s="20" t="str">
        <x:v>格</x:v>
      </x:c>
      <x:c r="F69" s="56" t="n">
        <x:v>1</x:v>
      </x:c>
      <x:c r="G69" s="20" t="str">
        <x:v>相当于其最大生命[I-4]%的有效伤害时获得[I-5]格。除「消化」外，Q/E在有食质时自动消耗[I-6]格并进入饱食</x:v>
      </x:c>
    </x:row>
    <x:row r="70" ht="38" customHeight="1">
      <x:c r="A70" s="20" t="str">
        <x:v>弥罗</x:v>
      </x:c>
      <x:c r="B70" s="20" t="str">
        <x:v>[I-6]</x:v>
      </x:c>
      <x:c r="C70" s="20" t="str">
        <x:v>固有机制</x:v>
      </x:c>
      <x:c r="D70" s="20" t="str">
        <x:v>饱食强化消耗</x:v>
      </x:c>
      <x:c r="E70" s="20" t="str">
        <x:v>格</x:v>
      </x:c>
      <x:c r="F70" s="56" t="n">
        <x:v>1</x:v>
      </x:c>
      <x:c r="G70" s="20" t="str">
        <x:v>]格。除「消化」外，Q/E在有食质时自动消耗[I-6]格并进入饱食强化，无食质仍可释放基础版；「消化」按自身规则消耗食</x:v>
      </x:c>
    </x:row>
    <x:row r="71" ht="38" customHeight="1">
      <x:c r="A71" s="20" t="str">
        <x:v>弥罗</x:v>
      </x:c>
      <x:c r="B71" s="20" t="str">
        <x:v>[ATK-1]</x:v>
      </x:c>
      <x:c r="C71" s="20" t="str">
        <x:v>基础攻击</x:v>
      </x:c>
      <x:c r="D71" s="20" t="str">
        <x:v>主嘴AD系数</x:v>
      </x:c>
      <x:c r="E71" s="20" t="str">
        <x:v>%AD</x:v>
      </x:c>
      <x:c r="F71" s="56" t="n">
        <x:v>100</x:v>
      </x:c>
      <x:c r="G71" s="20" t="str">
        <x:v>主嘴撕咬，造成[ATK-1]%AD普通伤害；基础攻速[ATK-2]次/秒，攻击距离[ATK-</x:v>
      </x:c>
    </x:row>
    <x:row r="72" ht="38" customHeight="1">
      <x:c r="A72" s="20" t="str">
        <x:v>弥罗</x:v>
      </x:c>
      <x:c r="B72" s="20" t="str">
        <x:v>[ATK-2]</x:v>
      </x:c>
      <x:c r="C72" s="20" t="str">
        <x:v>基础攻击</x:v>
      </x:c>
      <x:c r="D72" s="20" t="str">
        <x:v>基础攻速</x:v>
      </x:c>
      <x:c r="E72" s="20" t="str">
        <x:v>次/秒</x:v>
      </x:c>
      <x:c r="F72" s="58" t="n">
        <x:v>0.9</x:v>
      </x:c>
      <x:c r="G72" s="20" t="str">
        <x:v>，造成[ATK-1]%AD普通伤害；基础攻速[ATK-2]次/秒，攻击距离[ATK-3]米、扇形夹角[ATK-4]度。每完</x:v>
      </x:c>
    </x:row>
    <x:row r="73" ht="38" customHeight="1">
      <x:c r="A73" s="20" t="str">
        <x:v>弥罗</x:v>
      </x:c>
      <x:c r="B73" s="20" t="str">
        <x:v>[ATK-3]</x:v>
      </x:c>
      <x:c r="C73" s="20" t="str">
        <x:v>基础攻击</x:v>
      </x:c>
      <x:c r="D73" s="20" t="str">
        <x:v>攻击距离</x:v>
      </x:c>
      <x:c r="E73" s="20" t="str">
        <x:v>米</x:v>
      </x:c>
      <x:c r="F73" s="58" t="n">
        <x:v>2.8</x:v>
      </x:c>
      <x:c r="G73" s="20" t="str">
        <x:v>伤害；基础攻速[ATK-2]次/秒，攻击距离[ATK-3]米、扇形夹角[ATK-4]度。每完成[ATK-5]次普通攻击，胸</x:v>
      </x:c>
    </x:row>
    <x:row r="74" ht="38" customHeight="1">
      <x:c r="A74" s="20" t="str">
        <x:v>弥罗</x:v>
      </x:c>
      <x:c r="B74" s="20" t="str">
        <x:v>[ATK-4]</x:v>
      </x:c>
      <x:c r="C74" s="20" t="str">
        <x:v>基础攻击</x:v>
      </x:c>
      <x:c r="D74" s="20" t="str">
        <x:v>主嘴夹角</x:v>
      </x:c>
      <x:c r="E74" s="20" t="str">
        <x:v>度</x:v>
      </x:c>
      <x:c r="F74" s="56" t="n">
        <x:v>100</x:v>
      </x:c>
      <x:c r="G74" s="20" t="str">
        <x:v>]次/秒，攻击距离[ATK-3]米、扇形夹角[ATK-4]度。每完成[ATK-5]次普通攻击，胸腹巨口同步咬合，对半径[A</x:v>
      </x:c>
    </x:row>
    <x:row r="75" ht="38" customHeight="1">
      <x:c r="A75" s="20" t="str">
        <x:v>弥罗</x:v>
      </x:c>
      <x:c r="B75" s="20" t="str">
        <x:v>[ATK-5]</x:v>
      </x:c>
      <x:c r="C75" s="20" t="str">
        <x:v>基础攻击</x:v>
      </x:c>
      <x:c r="D75" s="20" t="str">
        <x:v>腹口触发普攻次数</x:v>
      </x:c>
      <x:c r="E75" s="20" t="str">
        <x:v>次</x:v>
      </x:c>
      <x:c r="F75" s="56" t="n">
        <x:v>3</x:v>
      </x:c>
      <x:c r="G75" s="20" t="str">
        <x:v>K-3]米、扇形夹角[ATK-4]度。每完成[ATK-5]次普通攻击，胸腹巨口同步咬合，对半径[ATK-6]米、夹角[AT</x:v>
      </x:c>
    </x:row>
    <x:row r="76" ht="38" customHeight="1">
      <x:c r="A76" s="20" t="str">
        <x:v>弥罗</x:v>
      </x:c>
      <x:c r="B76" s="20" t="str">
        <x:v>[ATK-6]</x:v>
      </x:c>
      <x:c r="C76" s="20" t="str">
        <x:v>基础攻击</x:v>
      </x:c>
      <x:c r="D76" s="20" t="str">
        <x:v>腹口半径</x:v>
      </x:c>
      <x:c r="E76" s="20" t="str">
        <x:v>米</x:v>
      </x:c>
      <x:c r="F76" s="58" t="n">
        <x:v>3.3</x:v>
      </x:c>
      <x:c r="G76" s="20" t="str">
        <x:v>K-5]次普通攻击，胸腹巨口同步咬合，对半径[ATK-6]米、夹角[ATK-7]度内的敌人追加[ATK-8]%AD普通伤害</x:v>
      </x:c>
    </x:row>
    <x:row r="77" ht="38" customHeight="1">
      <x:c r="A77" s="20" t="str">
        <x:v>弥罗</x:v>
      </x:c>
      <x:c r="B77" s="20" t="str">
        <x:v>[ATK-7]</x:v>
      </x:c>
      <x:c r="C77" s="20" t="str">
        <x:v>基础攻击</x:v>
      </x:c>
      <x:c r="D77" s="20" t="str">
        <x:v>腹口夹角</x:v>
      </x:c>
      <x:c r="E77" s="20" t="str">
        <x:v>度</x:v>
      </x:c>
      <x:c r="F77" s="56" t="n">
        <x:v>150</x:v>
      </x:c>
      <x:c r="G77" s="20" t="str">
        <x:v>腹巨口同步咬合，对半径[ATK-6]米、夹角[ATK-7]度内的敌人追加[ATK-8]%AD普通伤害。</x:v>
      </x:c>
    </x:row>
    <x:row r="78" ht="38" customHeight="1">
      <x:c r="A78" s="20" t="str">
        <x:v>弥罗</x:v>
      </x:c>
      <x:c r="B78" s="20" t="str">
        <x:v>[ATK-8]</x:v>
      </x:c>
      <x:c r="C78" s="20" t="str">
        <x:v>基础攻击</x:v>
      </x:c>
      <x:c r="D78" s="20" t="str">
        <x:v>腹口额外AD系数</x:v>
      </x:c>
      <x:c r="E78" s="20" t="str">
        <x:v>%AD</x:v>
      </x:c>
      <x:c r="F78" s="56" t="n">
        <x:v>40</x:v>
      </x:c>
      <x:c r="G78" s="20" t="str">
        <x:v>K-6]米、夹角[ATK-7]度内的敌人追加[ATK-8]%AD普通伤害。</x:v>
      </x:c>
    </x:row>
    <x:row r="79" ht="38" customHeight="1">
      <x:c r="A79" s="20" t="str">
        <x:v>弥罗</x:v>
      </x:c>
      <x:c r="B79" s="20" t="str">
        <x:v>[D-1]</x:v>
      </x:c>
      <x:c r="C79" s="20" t="str">
        <x:v>Shift</x:v>
      </x:c>
      <x:c r="D79" s="20" t="str">
        <x:v>冲刺距离</x:v>
      </x:c>
      <x:c r="E79" s="20" t="str">
        <x:v>米</x:v>
      </x:c>
      <x:c r="F79" s="58" t="n">
        <x:v>4.5</x:v>
      </x:c>
      <x:c r="G79" s="20" t="str">
        <x:v>沿移动输入方向压低身体窜出[D-1]米，持续[D-2]秒；未输入移动方向时沿当前朝向冲刺。无敌持续[</x:v>
      </x:c>
    </x:row>
    <x:row r="80" ht="38" customHeight="1">
      <x:c r="A80" s="20" t="str">
        <x:v>弥罗</x:v>
      </x:c>
      <x:c r="B80" s="20" t="str">
        <x:v>[D-2]</x:v>
      </x:c>
      <x:c r="C80" s="20" t="str">
        <x:v>Shift</x:v>
      </x:c>
      <x:c r="D80" s="20" t="str">
        <x:v>冲刺动作时长</x:v>
      </x:c>
      <x:c r="E80" s="20" t="str">
        <x:v>秒</x:v>
      </x:c>
      <x:c r="F80" s="58" t="n">
        <x:v>0.28</x:v>
      </x:c>
      <x:c r="G80" s="20" t="str">
        <x:v>沿移动输入方向压低身体窜出[D-1]米，持续[D-2]秒；未输入移动方向时沿当前朝向冲刺。无敌持续[D-3]秒，基础冷</x:v>
      </x:c>
    </x:row>
    <x:row r="81" ht="38" customHeight="1">
      <x:c r="A81" s="20" t="str">
        <x:v>弥罗</x:v>
      </x:c>
      <x:c r="B81" s="20" t="str">
        <x:v>[D-3]</x:v>
      </x:c>
      <x:c r="C81" s="20" t="str">
        <x:v>Shift</x:v>
      </x:c>
      <x:c r="D81" s="20" t="str">
        <x:v>冲刺无敌时长</x:v>
      </x:c>
      <x:c r="E81" s="20" t="str">
        <x:v>秒</x:v>
      </x:c>
      <x:c r="F81" s="58" t="n">
        <x:v>0.2</x:v>
      </x:c>
      <x:c r="G81" s="20" t="str">
        <x:v>秒；未输入移动方向时沿当前朝向冲刺。无敌持续[D-3]秒，基础冷却[D-4]秒。</x:v>
      </x:c>
    </x:row>
    <x:row r="82" ht="38" customHeight="1">
      <x:c r="A82" s="20" t="str">
        <x:v>弥罗</x:v>
      </x:c>
      <x:c r="B82" s="20" t="str">
        <x:v>[D-4]</x:v>
      </x:c>
      <x:c r="C82" s="20" t="str">
        <x:v>Shift</x:v>
      </x:c>
      <x:c r="D82" s="20" t="str">
        <x:v>冲刺基础冷却</x:v>
      </x:c>
      <x:c r="E82" s="20" t="str">
        <x:v>秒</x:v>
      </x:c>
      <x:c r="F82" s="56" t="n">
        <x:v>4</x:v>
      </x:c>
      <x:c r="G82" s="20" t="str">
        <x:v>当前朝向冲刺。无敌持续[D-3]秒，基础冷却[D-4]秒。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57847b33a51401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27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37" hidden="0" customWidth="1"/>
  </x:cols>
  <x:sheetData>
    <x:row r="1" ht="36" customHeight="1">
      <x:c r="A1" s="7" t="str">
        <x:v>风厉｜技能数值 v0.3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30" customHeight="1">
      <x:c r="A2" s="11" t="str">
        <x:v>Q/E：6档；被动/R：4档。蓝字可编辑；浅黄列为后段成长。百分比栏填100表示100%。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 ht="24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8" customHeight="1">
      <x:c r="A4" s="16" t="str">
        <x:v>占位编号</x:v>
      </x:c>
      <x:c r="B4" s="16" t="str">
        <x:v>技能</x:v>
      </x:c>
      <x:c r="C4" s="16" t="str">
        <x:v>数值项</x:v>
      </x:c>
      <x:c r="D4" s="16" t="str">
        <x:v>单位</x:v>
      </x:c>
      <x:c r="E4" s="16" t="str">
        <x:v>Lv1</x:v>
      </x:c>
      <x:c r="F4" s="16" t="str">
        <x:v>Lv2</x:v>
      </x:c>
      <x:c r="G4" s="16" t="str">
        <x:v>Lv3</x:v>
      </x:c>
      <x:c r="H4" s="16" t="str">
        <x:v>Lv4</x:v>
      </x:c>
      <x:c r="I4" s="16" t="str">
        <x:v>Lv5</x:v>
      </x:c>
      <x:c r="J4" s="16" t="str">
        <x:v>Lv6</x:v>
      </x:c>
      <x:c r="K4" s="16" t="str">
        <x:v>备注</x:v>
      </x:c>
    </x:row>
    <x:row r="5" ht="24" customHeight="1">
      <x:c r="A5" s="30" t="str">
        <x:v>[Q1-1]</x:v>
      </x:c>
      <x:c r="B5" s="30" t="str">
        <x:v>Q1｜连杀突刺</x:v>
      </x:c>
      <x:c r="C5" s="30" t="str">
        <x:v>固定伤害</x:v>
      </x:c>
      <x:c r="D5" s="30" t="str">
        <x:v>点</x:v>
      </x:c>
      <x:c r="E5" s="56" t="n">
        <x:v>35</x:v>
      </x:c>
      <x:c r="F5" s="56" t="n">
        <x:v>52</x:v>
      </x:c>
      <x:c r="G5" s="56" t="n">
        <x:v>77</x:v>
      </x:c>
      <x:c r="H5" s="60" t="n">
        <x:v>119</x:v>
      </x:c>
      <x:c r="I5" s="60" t="n">
        <x:v>176</x:v>
      </x:c>
      <x:c r="J5" s="60" t="n">
        <x:v>245</x:v>
      </x:c>
      <x:c r="K5" s="11" t="str"/>
    </x:row>
    <x:row r="6" ht="24" customHeight="1">
      <x:c r="A6" s="20" t="str">
        <x:v>[Q1-2]</x:v>
      </x:c>
      <x:c r="B6" s="20" t="str">
        <x:v>Q1｜连杀突刺</x:v>
      </x:c>
      <x:c r="C6" s="20" t="str">
        <x:v>AD系数</x:v>
      </x:c>
      <x:c r="D6" s="20" t="str">
        <x:v>%AD</x:v>
      </x:c>
      <x:c r="E6" s="56" t="n">
        <x:v>100</x:v>
      </x:c>
      <x:c r="F6" s="56" t="n">
        <x:v>104</x:v>
      </x:c>
      <x:c r="G6" s="56" t="n">
        <x:v>111</x:v>
      </x:c>
      <x:c r="H6" s="60" t="n">
        <x:v>122</x:v>
      </x:c>
      <x:c r="I6" s="60" t="n">
        <x:v>137</x:v>
      </x:c>
      <x:c r="J6" s="60" t="n">
        <x:v>155</x:v>
      </x:c>
      <x:c r="K6" s="11" t="str"/>
    </x:row>
    <x:row r="7" ht="24" customHeight="1">
      <x:c r="A7" s="20" t="str">
        <x:v>[Q1-3]</x:v>
      </x:c>
      <x:c r="B7" s="20" t="str">
        <x:v>Q1｜连杀突刺</x:v>
      </x:c>
      <x:c r="C7" s="20" t="str">
        <x:v>矩形长度</x:v>
      </x:c>
      <x:c r="D7" s="20" t="str">
        <x:v>米</x:v>
      </x:c>
      <x:c r="E7" s="58" t="n">
        <x:v>3.5</x:v>
      </x:c>
      <x:c r="F7" s="58" t="n">
        <x:v>3.6</x:v>
      </x:c>
      <x:c r="G7" s="58" t="n">
        <x:v>3.76</x:v>
      </x:c>
      <x:c r="H7" s="62" t="n">
        <x:v>4.02</x:v>
      </x:c>
      <x:c r="I7" s="62" t="n">
        <x:v>4.37</x:v>
      </x:c>
      <x:c r="J7" s="62" t="n">
        <x:v>4.8</x:v>
      </x:c>
      <x:c r="K7" s="11" t="str"/>
    </x:row>
    <x:row r="8" ht="24" customHeight="1">
      <x:c r="A8" s="20" t="str">
        <x:v>[Q1-4]</x:v>
      </x:c>
      <x:c r="B8" s="20" t="str">
        <x:v>Q1｜连杀突刺</x:v>
      </x:c>
      <x:c r="C8" s="20" t="str">
        <x:v>矩形宽度</x:v>
      </x:c>
      <x:c r="D8" s="20" t="str">
        <x:v>米</x:v>
      </x:c>
      <x:c r="E8" s="58" t="n">
        <x:v>1.25</x:v>
      </x:c>
      <x:c r="F8" s="58" t="n">
        <x:v>1.25</x:v>
      </x:c>
      <x:c r="G8" s="58" t="n">
        <x:v>1.25</x:v>
      </x:c>
      <x:c r="H8" s="58" t="n">
        <x:v>1.25</x:v>
      </x:c>
      <x:c r="I8" s="58" t="n">
        <x:v>1.25</x:v>
      </x:c>
      <x:c r="J8" s="58" t="n">
        <x:v>1.25</x:v>
      </x:c>
      <x:c r="K8" s="11" t="str">
        <x:v>固定参数；不随技能等级变化</x:v>
      </x:c>
    </x:row>
    <x:row r="9" ht="24" customHeight="1">
      <x:c r="A9" s="20" t="str">
        <x:v>[Q1-5]</x:v>
      </x:c>
      <x:c r="B9" s="20" t="str">
        <x:v>Q1｜连杀突刺</x:v>
      </x:c>
      <x:c r="C9" s="20" t="str">
        <x:v>出剑动作时长</x:v>
      </x:c>
      <x:c r="D9" s="20" t="str">
        <x:v>秒</x:v>
      </x:c>
      <x:c r="E9" s="58" t="n">
        <x:v>0.25</x:v>
      </x:c>
      <x:c r="F9" s="58" t="n">
        <x:v>0.25</x:v>
      </x:c>
      <x:c r="G9" s="58" t="n">
        <x:v>0.25</x:v>
      </x:c>
      <x:c r="H9" s="58" t="n">
        <x:v>0.25</x:v>
      </x:c>
      <x:c r="I9" s="58" t="n">
        <x:v>0.25</x:v>
      </x:c>
      <x:c r="J9" s="58" t="n">
        <x:v>0.25</x:v>
      </x:c>
      <x:c r="K9" s="11" t="str">
        <x:v>固定参数；不随技能等级变化</x:v>
      </x:c>
    </x:row>
    <x:row r="10" ht="24" customHeight="1">
      <x:c r="A10" s="20" t="str">
        <x:v>[Q1-6]</x:v>
      </x:c>
      <x:c r="B10" s="20" t="str">
        <x:v>Q1｜连杀突刺</x:v>
      </x:c>
      <x:c r="C10" s="20" t="str">
        <x:v>命中冷却返还比例</x:v>
      </x:c>
      <x:c r="D10" s="20" t="str">
        <x:v>%</x:v>
      </x:c>
      <x:c r="E10" s="56" t="n">
        <x:v>30</x:v>
      </x:c>
      <x:c r="F10" s="56" t="n">
        <x:v>31</x:v>
      </x:c>
      <x:c r="G10" s="56" t="n">
        <x:v>32</x:v>
      </x:c>
      <x:c r="H10" s="60" t="n">
        <x:v>34</x:v>
      </x:c>
      <x:c r="I10" s="60" t="n">
        <x:v>37</x:v>
      </x:c>
      <x:c r="J10" s="60" t="n">
        <x:v>40</x:v>
      </x:c>
      <x:c r="K10" s="11" t="str"/>
    </x:row>
    <x:row r="11" ht="24" customHeight="1">
      <x:c r="A11" s="20" t="str">
        <x:v>[Q1-7]</x:v>
      </x:c>
      <x:c r="B11" s="20" t="str">
        <x:v>Q1｜连杀突刺</x:v>
      </x:c>
      <x:c r="C11" s="20" t="str">
        <x:v>击杀获得强化层数</x:v>
      </x:c>
      <x:c r="D11" s="20" t="str">
        <x:v>层</x:v>
      </x:c>
      <x:c r="E11" s="56" t="n">
        <x:v>1</x:v>
      </x:c>
      <x:c r="F11" s="56" t="n">
        <x:v>1</x:v>
      </x:c>
      <x:c r="G11" s="56" t="n">
        <x:v>1</x:v>
      </x:c>
      <x:c r="H11" s="56" t="n">
        <x:v>1</x:v>
      </x:c>
      <x:c r="I11" s="56" t="n">
        <x:v>1</x:v>
      </x:c>
      <x:c r="J11" s="56" t="n">
        <x:v>1</x:v>
      </x:c>
      <x:c r="K11" s="11" t="str">
        <x:v>固定参数；不随技能等级变化</x:v>
      </x:c>
    </x:row>
    <x:row r="12" ht="24" customHeight="1">
      <x:c r="A12" s="20" t="str">
        <x:v>[Q1-8]</x:v>
      </x:c>
      <x:c r="B12" s="20" t="str">
        <x:v>Q1｜连杀突刺</x:v>
      </x:c>
      <x:c r="C12" s="20" t="str">
        <x:v>每层伤害增幅</x:v>
      </x:c>
      <x:c r="D12" s="20" t="str">
        <x:v>%</x:v>
      </x:c>
      <x:c r="E12" s="56" t="n">
        <x:v>30</x:v>
      </x:c>
      <x:c r="F12" s="56" t="n">
        <x:v>30</x:v>
      </x:c>
      <x:c r="G12" s="56" t="n">
        <x:v>30</x:v>
      </x:c>
      <x:c r="H12" s="56" t="n">
        <x:v>30</x:v>
      </x:c>
      <x:c r="I12" s="56" t="n">
        <x:v>30</x:v>
      </x:c>
      <x:c r="J12" s="56" t="n">
        <x:v>30</x:v>
      </x:c>
      <x:c r="K12" s="11" t="str">
        <x:v>固定参数；不随技能等级变化</x:v>
      </x:c>
    </x:row>
    <x:row r="13" ht="24" customHeight="1">
      <x:c r="A13" s="20" t="str">
        <x:v>[Q1-9]</x:v>
      </x:c>
      <x:c r="B13" s="20" t="str">
        <x:v>Q1｜连杀突刺</x:v>
      </x:c>
      <x:c r="C13" s="20" t="str">
        <x:v>每层长度增幅</x:v>
      </x:c>
      <x:c r="D13" s="20" t="str">
        <x:v>%</x:v>
      </x:c>
      <x:c r="E13" s="56" t="n">
        <x:v>30</x:v>
      </x:c>
      <x:c r="F13" s="56" t="n">
        <x:v>30</x:v>
      </x:c>
      <x:c r="G13" s="56" t="n">
        <x:v>30</x:v>
      </x:c>
      <x:c r="H13" s="56" t="n">
        <x:v>30</x:v>
      </x:c>
      <x:c r="I13" s="56" t="n">
        <x:v>30</x:v>
      </x:c>
      <x:c r="J13" s="56" t="n">
        <x:v>30</x:v>
      </x:c>
      <x:c r="K13" s="11" t="str">
        <x:v>固定参数；不随技能等级变化</x:v>
      </x:c>
    </x:row>
    <x:row r="14" ht="24" customHeight="1">
      <x:c r="A14" s="20" t="str">
        <x:v>[Q1-10]</x:v>
      </x:c>
      <x:c r="B14" s="20" t="str">
        <x:v>Q1｜连杀突刺</x:v>
      </x:c>
      <x:c r="C14" s="20" t="str">
        <x:v>强化层数上限</x:v>
      </x:c>
      <x:c r="D14" s="20" t="str">
        <x:v>层</x:v>
      </x:c>
      <x:c r="E14" s="56" t="n">
        <x:v>4</x:v>
      </x:c>
      <x:c r="F14" s="56" t="n">
        <x:v>4</x:v>
      </x:c>
      <x:c r="G14" s="56" t="n">
        <x:v>4</x:v>
      </x:c>
      <x:c r="H14" s="56" t="n">
        <x:v>4</x:v>
      </x:c>
      <x:c r="I14" s="56" t="n">
        <x:v>4</x:v>
      </x:c>
      <x:c r="J14" s="56" t="n">
        <x:v>4</x:v>
      </x:c>
      <x:c r="K14" s="11" t="str">
        <x:v>固定参数；不随技能等级变化</x:v>
      </x:c>
    </x:row>
    <x:row r="15" ht="24" customHeight="1">
      <x:c r="A15" s="20" t="str">
        <x:v>[Q1-11]</x:v>
      </x:c>
      <x:c r="B15" s="20" t="str">
        <x:v>Q1｜连杀突刺</x:v>
      </x:c>
      <x:c r="C15" s="20" t="str">
        <x:v>基础冷却</x:v>
      </x:c>
      <x:c r="D15" s="20" t="str">
        <x:v>秒</x:v>
      </x:c>
      <x:c r="E15" s="58" t="n">
        <x:v>5</x:v>
      </x:c>
      <x:c r="F15" s="58" t="n">
        <x:v>4.9</x:v>
      </x:c>
      <x:c r="G15" s="58" t="n">
        <x:v>4.76</x:v>
      </x:c>
      <x:c r="H15" s="62" t="n">
        <x:v>4.52</x:v>
      </x:c>
      <x:c r="I15" s="62" t="n">
        <x:v>4.2</x:v>
      </x:c>
      <x:c r="J15" s="62" t="n">
        <x:v>3.8</x:v>
      </x:c>
      <x:c r="K15" s="11" t="str"/>
    </x:row>
    <x:row r="16" ht="24" customHeight="1">
      <x:c r="A16" s="30" t="str">
        <x:v>[Q2-1]</x:v>
      </x:c>
      <x:c r="B16" s="30" t="str">
        <x:v>Q2｜多目标连续突袭</x:v>
      </x:c>
      <x:c r="C16" s="30" t="str">
        <x:v>首目标选择距离</x:v>
      </x:c>
      <x:c r="D16" s="30" t="str">
        <x:v>米</x:v>
      </x:c>
      <x:c r="E16" s="56" t="n">
        <x:v>7</x:v>
      </x:c>
      <x:c r="F16" s="56" t="n">
        <x:v>7</x:v>
      </x:c>
      <x:c r="G16" s="56" t="n">
        <x:v>7</x:v>
      </x:c>
      <x:c r="H16" s="56" t="n">
        <x:v>7</x:v>
      </x:c>
      <x:c r="I16" s="56" t="n">
        <x:v>7</x:v>
      </x:c>
      <x:c r="J16" s="56" t="n">
        <x:v>7</x:v>
      </x:c>
      <x:c r="K16" s="11" t="str">
        <x:v>固定参数；不随技能等级变化</x:v>
      </x:c>
    </x:row>
    <x:row r="17" ht="24" customHeight="1">
      <x:c r="A17" s="20" t="str">
        <x:v>[Q2-2]</x:v>
      </x:c>
      <x:c r="B17" s="20" t="str">
        <x:v>Q2｜多目标连续突袭</x:v>
      </x:c>
      <x:c r="C17" s="20" t="str">
        <x:v>单次固定伤害</x:v>
      </x:c>
      <x:c r="D17" s="20" t="str">
        <x:v>点</x:v>
      </x:c>
      <x:c r="E17" s="56" t="n">
        <x:v>45</x:v>
      </x:c>
      <x:c r="F17" s="56" t="n">
        <x:v>61</x:v>
      </x:c>
      <x:c r="G17" s="56" t="n">
        <x:v>84</x:v>
      </x:c>
      <x:c r="H17" s="60" t="n">
        <x:v>123</x:v>
      </x:c>
      <x:c r="I17" s="60" t="n">
        <x:v>176</x:v>
      </x:c>
      <x:c r="J17" s="60" t="n">
        <x:v>240</x:v>
      </x:c>
      <x:c r="K17" s="11" t="str"/>
    </x:row>
    <x:row r="18" ht="24" customHeight="1">
      <x:c r="A18" s="20" t="str">
        <x:v>[Q2-3]</x:v>
      </x:c>
      <x:c r="B18" s="20" t="str">
        <x:v>Q2｜多目标连续突袭</x:v>
      </x:c>
      <x:c r="C18" s="20" t="str">
        <x:v>单次AD系数</x:v>
      </x:c>
      <x:c r="D18" s="20" t="str">
        <x:v>%AD</x:v>
      </x:c>
      <x:c r="E18" s="56" t="n">
        <x:v>120</x:v>
      </x:c>
      <x:c r="F18" s="56" t="n">
        <x:v>125</x:v>
      </x:c>
      <x:c r="G18" s="56" t="n">
        <x:v>132</x:v>
      </x:c>
      <x:c r="H18" s="60" t="n">
        <x:v>144</x:v>
      </x:c>
      <x:c r="I18" s="60" t="n">
        <x:v>160</x:v>
      </x:c>
      <x:c r="J18" s="60" t="n">
        <x:v>180</x:v>
      </x:c>
      <x:c r="K18" s="11" t="str"/>
    </x:row>
    <x:row r="19" ht="24" customHeight="1">
      <x:c r="A19" s="20" t="str">
        <x:v>[Q2-4]</x:v>
      </x:c>
      <x:c r="B19" s="20" t="str">
        <x:v>Q2｜多目标连续突袭</x:v>
      </x:c>
      <x:c r="C19" s="20" t="str">
        <x:v>后续寻敌半径</x:v>
      </x:c>
      <x:c r="D19" s="20" t="str">
        <x:v>米</x:v>
      </x:c>
      <x:c r="E19" s="58" t="n">
        <x:v>3.5</x:v>
      </x:c>
      <x:c r="F19" s="58" t="n">
        <x:v>3.58</x:v>
      </x:c>
      <x:c r="G19" s="58" t="n">
        <x:v>3.7</x:v>
      </x:c>
      <x:c r="H19" s="62" t="n">
        <x:v>3.9</x:v>
      </x:c>
      <x:c r="I19" s="62" t="n">
        <x:v>4.17</x:v>
      </x:c>
      <x:c r="J19" s="62" t="n">
        <x:v>4.5</x:v>
      </x:c>
      <x:c r="K19" s="11" t="str"/>
    </x:row>
    <x:row r="20" ht="24" customHeight="1">
      <x:c r="A20" s="20" t="str">
        <x:v>[Q2-5]</x:v>
      </x:c>
      <x:c r="B20" s="20" t="str">
        <x:v>Q2｜多目标连续突袭</x:v>
      </x:c>
      <x:c r="C20" s="20" t="str">
        <x:v>最大突袭次数</x:v>
      </x:c>
      <x:c r="D20" s="20" t="str">
        <x:v>次</x:v>
      </x:c>
      <x:c r="E20" s="56" t="n">
        <x:v>4</x:v>
      </x:c>
      <x:c r="F20" s="56" t="n">
        <x:v>4</x:v>
      </x:c>
      <x:c r="G20" s="56" t="n">
        <x:v>4</x:v>
      </x:c>
      <x:c r="H20" s="56" t="n">
        <x:v>4</x:v>
      </x:c>
      <x:c r="I20" s="56" t="n">
        <x:v>4</x:v>
      </x:c>
      <x:c r="J20" s="56" t="n">
        <x:v>4</x:v>
      </x:c>
      <x:c r="K20" s="11" t="str">
        <x:v>固定参数；不随技能等级变化</x:v>
      </x:c>
    </x:row>
    <x:row r="21" ht="24" customHeight="1">
      <x:c r="A21" s="20" t="str">
        <x:v>[Q2-6]</x:v>
      </x:c>
      <x:c r="B21" s="20" t="str">
        <x:v>Q2｜多目标连续突袭</x:v>
      </x:c>
      <x:c r="C21" s="20" t="str">
        <x:v>每次突袭时长</x:v>
      </x:c>
      <x:c r="D21" s="20" t="str">
        <x:v>秒</x:v>
      </x:c>
      <x:c r="E21" s="58" t="n">
        <x:v>0.2</x:v>
      </x:c>
      <x:c r="F21" s="58" t="n">
        <x:v>0.2</x:v>
      </x:c>
      <x:c r="G21" s="58" t="n">
        <x:v>0.2</x:v>
      </x:c>
      <x:c r="H21" s="58" t="n">
        <x:v>0.2</x:v>
      </x:c>
      <x:c r="I21" s="58" t="n">
        <x:v>0.2</x:v>
      </x:c>
      <x:c r="J21" s="58" t="n">
        <x:v>0.2</x:v>
      </x:c>
      <x:c r="K21" s="11" t="str">
        <x:v>固定参数；不随技能等级变化</x:v>
      </x:c>
    </x:row>
    <x:row r="22" ht="24" customHeight="1">
      <x:c r="A22" s="20" t="str">
        <x:v>[Q2-7]</x:v>
      </x:c>
      <x:c r="B22" s="20" t="str">
        <x:v>Q2｜多目标连续突袭</x:v>
      </x:c>
      <x:c r="C22" s="20" t="str">
        <x:v>最终身后落点距离</x:v>
      </x:c>
      <x:c r="D22" s="20" t="str">
        <x:v>米</x:v>
      </x:c>
      <x:c r="E22" s="58" t="n">
        <x:v>1.2</x:v>
      </x:c>
      <x:c r="F22" s="58" t="n">
        <x:v>1.2</x:v>
      </x:c>
      <x:c r="G22" s="58" t="n">
        <x:v>1.2</x:v>
      </x:c>
      <x:c r="H22" s="58" t="n">
        <x:v>1.2</x:v>
      </x:c>
      <x:c r="I22" s="58" t="n">
        <x:v>1.2</x:v>
      </x:c>
      <x:c r="J22" s="58" t="n">
        <x:v>1.2</x:v>
      </x:c>
      <x:c r="K22" s="11" t="str">
        <x:v>固定参数；不随技能等级变化</x:v>
      </x:c>
    </x:row>
    <x:row r="23" ht="24" customHeight="1">
      <x:c r="A23" s="20" t="str">
        <x:v>[Q2-8]</x:v>
      </x:c>
      <x:c r="B23" s="20" t="str">
        <x:v>Q2｜多目标连续突袭</x:v>
      </x:c>
      <x:c r="C23" s="20" t="str">
        <x:v>基础冷却</x:v>
      </x:c>
      <x:c r="D23" s="20" t="str">
        <x:v>秒</x:v>
      </x:c>
      <x:c r="E23" s="58" t="n">
        <x:v>12</x:v>
      </x:c>
      <x:c r="F23" s="58" t="n">
        <x:v>11.76</x:v>
      </x:c>
      <x:c r="G23" s="58" t="n">
        <x:v>11.4</x:v>
      </x:c>
      <x:c r="H23" s="62" t="n">
        <x:v>10.8</x:v>
      </x:c>
      <x:c r="I23" s="62" t="n">
        <x:v>9.99</x:v>
      </x:c>
      <x:c r="J23" s="62" t="n">
        <x:v>9</x:v>
      </x:c>
      <x:c r="K23" s="11" t="str"/>
    </x:row>
    <x:row r="24" ht="24" customHeight="1">
      <x:c r="A24" s="30" t="str">
        <x:v>[Q3-1]</x:v>
      </x:c>
      <x:c r="B24" s="30" t="str">
        <x:v>Q3｜长距剑气</x:v>
      </x:c>
      <x:c r="C24" s="30" t="str">
        <x:v>固定伤害</x:v>
      </x:c>
      <x:c r="D24" s="30" t="str">
        <x:v>点</x:v>
      </x:c>
      <x:c r="E24" s="56" t="n">
        <x:v>40</x:v>
      </x:c>
      <x:c r="F24" s="56" t="n">
        <x:v>57</x:v>
      </x:c>
      <x:c r="G24" s="56" t="n">
        <x:v>82</x:v>
      </x:c>
      <x:c r="H24" s="60" t="n">
        <x:v>124</x:v>
      </x:c>
      <x:c r="I24" s="60" t="n">
        <x:v>181</x:v>
      </x:c>
      <x:c r="J24" s="60" t="n">
        <x:v>250</x:v>
      </x:c>
      <x:c r="K24" s="11" t="str"/>
    </x:row>
    <x:row r="25" ht="24" customHeight="1">
      <x:c r="A25" s="20" t="str">
        <x:v>[Q3-2]</x:v>
      </x:c>
      <x:c r="B25" s="20" t="str">
        <x:v>Q3｜长距剑气</x:v>
      </x:c>
      <x:c r="C25" s="20" t="str">
        <x:v>AD系数</x:v>
      </x:c>
      <x:c r="D25" s="20" t="str">
        <x:v>%AD</x:v>
      </x:c>
      <x:c r="E25" s="56" t="n">
        <x:v>85</x:v>
      </x:c>
      <x:c r="F25" s="56" t="n">
        <x:v>90</x:v>
      </x:c>
      <x:c r="G25" s="56" t="n">
        <x:v>97</x:v>
      </x:c>
      <x:c r="H25" s="60" t="n">
        <x:v>109</x:v>
      </x:c>
      <x:c r="I25" s="60" t="n">
        <x:v>125</x:v>
      </x:c>
      <x:c r="J25" s="60" t="n">
        <x:v>145</x:v>
      </x:c>
      <x:c r="K25" s="11" t="str"/>
    </x:row>
    <x:row r="26" ht="24" customHeight="1">
      <x:c r="A26" s="20" t="str">
        <x:v>[Q3-3]</x:v>
      </x:c>
      <x:c r="B26" s="20" t="str">
        <x:v>Q3｜长距剑气</x:v>
      </x:c>
      <x:c r="C26" s="20" t="str">
        <x:v>击退距离</x:v>
      </x:c>
      <x:c r="D26" s="20" t="str">
        <x:v>米</x:v>
      </x:c>
      <x:c r="E26" s="58" t="n">
        <x:v>2.5</x:v>
      </x:c>
      <x:c r="F26" s="58" t="n">
        <x:v>2.62</x:v>
      </x:c>
      <x:c r="G26" s="58" t="n">
        <x:v>2.8</x:v>
      </x:c>
      <x:c r="H26" s="62" t="n">
        <x:v>3.1</x:v>
      </x:c>
      <x:c r="I26" s="62" t="n">
        <x:v>3.5</x:v>
      </x:c>
      <x:c r="J26" s="62" t="n">
        <x:v>4</x:v>
      </x:c>
      <x:c r="K26" s="11" t="str"/>
    </x:row>
    <x:row r="27" ht="24" customHeight="1">
      <x:c r="A27" s="20" t="str">
        <x:v>[Q3-4]</x:v>
      </x:c>
      <x:c r="B27" s="20" t="str">
        <x:v>Q3｜长距剑气</x:v>
      </x:c>
      <x:c r="C27" s="20" t="str">
        <x:v>击退时长</x:v>
      </x:c>
      <x:c r="D27" s="20" t="str">
        <x:v>秒</x:v>
      </x:c>
      <x:c r="E27" s="58" t="n">
        <x:v>0.3</x:v>
      </x:c>
      <x:c r="F27" s="58" t="n">
        <x:v>0.3</x:v>
      </x:c>
      <x:c r="G27" s="58" t="n">
        <x:v>0.3</x:v>
      </x:c>
      <x:c r="H27" s="58" t="n">
        <x:v>0.3</x:v>
      </x:c>
      <x:c r="I27" s="58" t="n">
        <x:v>0.3</x:v>
      </x:c>
      <x:c r="J27" s="58" t="n">
        <x:v>0.3</x:v>
      </x:c>
      <x:c r="K27" s="11" t="str">
        <x:v>固定参数；不随技能等级变化</x:v>
      </x:c>
    </x:row>
    <x:row r="28" ht="24" customHeight="1">
      <x:c r="A28" s="20" t="str">
        <x:v>[Q3-5]</x:v>
      </x:c>
      <x:c r="B28" s="20" t="str">
        <x:v>Q3｜长距剑气</x:v>
      </x:c>
      <x:c r="C28" s="20" t="str">
        <x:v>剑气长度</x:v>
      </x:c>
      <x:c r="D28" s="20" t="str">
        <x:v>米</x:v>
      </x:c>
      <x:c r="E28" s="58" t="n">
        <x:v>10</x:v>
      </x:c>
      <x:c r="F28" s="58" t="n">
        <x:v>10.24</x:v>
      </x:c>
      <x:c r="G28" s="58" t="n">
        <x:v>10.6</x:v>
      </x:c>
      <x:c r="H28" s="62" t="n">
        <x:v>11.2</x:v>
      </x:c>
      <x:c r="I28" s="62" t="n">
        <x:v>12.01</x:v>
      </x:c>
      <x:c r="J28" s="62" t="n">
        <x:v>13</x:v>
      </x:c>
      <x:c r="K28" s="11" t="str"/>
    </x:row>
    <x:row r="29" ht="24" customHeight="1">
      <x:c r="A29" s="20" t="str">
        <x:v>[Q3-6]</x:v>
      </x:c>
      <x:c r="B29" s="20" t="str">
        <x:v>Q3｜长距剑气</x:v>
      </x:c>
      <x:c r="C29" s="20" t="str">
        <x:v>剑气宽度</x:v>
      </x:c>
      <x:c r="D29" s="20" t="str">
        <x:v>米</x:v>
      </x:c>
      <x:c r="E29" s="58" t="n">
        <x:v>1.8</x:v>
      </x:c>
      <x:c r="F29" s="58" t="n">
        <x:v>1.85</x:v>
      </x:c>
      <x:c r="G29" s="58" t="n">
        <x:v>1.92</x:v>
      </x:c>
      <x:c r="H29" s="62" t="n">
        <x:v>2.04</x:v>
      </x:c>
      <x:c r="I29" s="62" t="n">
        <x:v>2.2</x:v>
      </x:c>
      <x:c r="J29" s="62" t="n">
        <x:v>2.4</x:v>
      </x:c>
      <x:c r="K29" s="11" t="str"/>
    </x:row>
    <x:row r="30" ht="24" customHeight="1">
      <x:c r="A30" s="20" t="str">
        <x:v>[Q3-7]</x:v>
      </x:c>
      <x:c r="B30" s="20" t="str">
        <x:v>Q3｜长距剑气</x:v>
      </x:c>
      <x:c r="C30" s="20" t="str">
        <x:v>剑气速度</x:v>
      </x:c>
      <x:c r="D30" s="20" t="str">
        <x:v>米/秒</x:v>
      </x:c>
      <x:c r="E30" s="56" t="n">
        <x:v>18</x:v>
      </x:c>
      <x:c r="F30" s="56" t="n">
        <x:v>18</x:v>
      </x:c>
      <x:c r="G30" s="56" t="n">
        <x:v>18</x:v>
      </x:c>
      <x:c r="H30" s="56" t="n">
        <x:v>18</x:v>
      </x:c>
      <x:c r="I30" s="56" t="n">
        <x:v>18</x:v>
      </x:c>
      <x:c r="J30" s="56" t="n">
        <x:v>18</x:v>
      </x:c>
      <x:c r="K30" s="11" t="str">
        <x:v>固定参数；不随技能等级变化</x:v>
      </x:c>
    </x:row>
    <x:row r="31" ht="24" customHeight="1">
      <x:c r="A31" s="20" t="str">
        <x:v>[Q3-8]</x:v>
      </x:c>
      <x:c r="B31" s="20" t="str">
        <x:v>Q3｜长距剑气</x:v>
      </x:c>
      <x:c r="C31" s="20" t="str">
        <x:v>同目标命中上限</x:v>
      </x:c>
      <x:c r="D31" s="20" t="str">
        <x:v>次</x:v>
      </x:c>
      <x:c r="E31" s="56" t="n">
        <x:v>1</x:v>
      </x:c>
      <x:c r="F31" s="56" t="n">
        <x:v>1</x:v>
      </x:c>
      <x:c r="G31" s="56" t="n">
        <x:v>1</x:v>
      </x:c>
      <x:c r="H31" s="56" t="n">
        <x:v>1</x:v>
      </x:c>
      <x:c r="I31" s="56" t="n">
        <x:v>1</x:v>
      </x:c>
      <x:c r="J31" s="56" t="n">
        <x:v>1</x:v>
      </x:c>
      <x:c r="K31" s="11" t="str">
        <x:v>固定参数；不随技能等级变化</x:v>
      </x:c>
    </x:row>
    <x:row r="32" ht="24" customHeight="1">
      <x:c r="A32" s="20" t="str">
        <x:v>[Q3-9]</x:v>
      </x:c>
      <x:c r="B32" s="20" t="str">
        <x:v>Q3｜长距剑气</x:v>
      </x:c>
      <x:c r="C32" s="20" t="str">
        <x:v>基础冷却</x:v>
      </x:c>
      <x:c r="D32" s="20" t="str">
        <x:v>秒</x:v>
      </x:c>
      <x:c r="E32" s="58" t="n">
        <x:v>11</x:v>
      </x:c>
      <x:c r="F32" s="58" t="n">
        <x:v>10.76</x:v>
      </x:c>
      <x:c r="G32" s="58" t="n">
        <x:v>10.4</x:v>
      </x:c>
      <x:c r="H32" s="62" t="n">
        <x:v>9.8</x:v>
      </x:c>
      <x:c r="I32" s="62" t="n">
        <x:v>8.99</x:v>
      </x:c>
      <x:c r="J32" s="62" t="n">
        <x:v>8</x:v>
      </x:c>
      <x:c r="K32" s="11" t="str"/>
    </x:row>
    <x:row r="33" ht="24" customHeight="1">
      <x:c r="A33" s="30" t="str">
        <x:v>[E1-1]</x:v>
      </x:c>
      <x:c r="B33" s="30" t="str">
        <x:v>E1｜匕首标记·二段穿刺</x:v>
      </x:c>
      <x:c r="C33" s="30" t="str">
        <x:v>选敌距离</x:v>
      </x:c>
      <x:c r="D33" s="30" t="str">
        <x:v>米</x:v>
      </x:c>
      <x:c r="E33" s="56" t="n">
        <x:v>10</x:v>
      </x:c>
      <x:c r="F33" s="56" t="n">
        <x:v>10</x:v>
      </x:c>
      <x:c r="G33" s="56" t="n">
        <x:v>10</x:v>
      </x:c>
      <x:c r="H33" s="56" t="n">
        <x:v>10</x:v>
      </x:c>
      <x:c r="I33" s="56" t="n">
        <x:v>10</x:v>
      </x:c>
      <x:c r="J33" s="56" t="n">
        <x:v>10</x:v>
      </x:c>
      <x:c r="K33" s="11" t="str">
        <x:v>固定参数；不随技能等级变化</x:v>
      </x:c>
    </x:row>
    <x:row r="34" ht="24" customHeight="1">
      <x:c r="A34" s="20" t="str">
        <x:v>[E1-2]</x:v>
      </x:c>
      <x:c r="B34" s="20" t="str">
        <x:v>E1｜匕首标记·二段穿刺</x:v>
      </x:c>
      <x:c r="C34" s="20" t="str">
        <x:v>匕首速度</x:v>
      </x:c>
      <x:c r="D34" s="20" t="str">
        <x:v>米/秒</x:v>
      </x:c>
      <x:c r="E34" s="56" t="n">
        <x:v>25</x:v>
      </x:c>
      <x:c r="F34" s="56" t="n">
        <x:v>25</x:v>
      </x:c>
      <x:c r="G34" s="56" t="n">
        <x:v>25</x:v>
      </x:c>
      <x:c r="H34" s="56" t="n">
        <x:v>25</x:v>
      </x:c>
      <x:c r="I34" s="56" t="n">
        <x:v>25</x:v>
      </x:c>
      <x:c r="J34" s="56" t="n">
        <x:v>25</x:v>
      </x:c>
      <x:c r="K34" s="11" t="str">
        <x:v>固定参数；不随技能等级变化</x:v>
      </x:c>
    </x:row>
    <x:row r="35" ht="24" customHeight="1">
      <x:c r="A35" s="20" t="str">
        <x:v>[E1-3]</x:v>
      </x:c>
      <x:c r="B35" s="20" t="str">
        <x:v>E1｜匕首标记·二段穿刺</x:v>
      </x:c>
      <x:c r="C35" s="20" t="str">
        <x:v>匕首固定伤害</x:v>
      </x:c>
      <x:c r="D35" s="20" t="str">
        <x:v>点</x:v>
      </x:c>
      <x:c r="E35" s="56" t="n">
        <x:v>45</x:v>
      </x:c>
      <x:c r="F35" s="56" t="n">
        <x:v>61</x:v>
      </x:c>
      <x:c r="G35" s="56" t="n">
        <x:v>84</x:v>
      </x:c>
      <x:c r="H35" s="60" t="n">
        <x:v>123</x:v>
      </x:c>
      <x:c r="I35" s="60" t="n">
        <x:v>176</x:v>
      </x:c>
      <x:c r="J35" s="60" t="n">
        <x:v>240</x:v>
      </x:c>
      <x:c r="K35" s="11" t="str"/>
    </x:row>
    <x:row r="36" ht="24" customHeight="1">
      <x:c r="A36" s="20" t="str">
        <x:v>[E1-4]</x:v>
      </x:c>
      <x:c r="B36" s="20" t="str">
        <x:v>E1｜匕首标记·二段穿刺</x:v>
      </x:c>
      <x:c r="C36" s="20" t="str">
        <x:v>匕首AD系数</x:v>
      </x:c>
      <x:c r="D36" s="20" t="str">
        <x:v>%AD</x:v>
      </x:c>
      <x:c r="E36" s="56" t="n">
        <x:v>115</x:v>
      </x:c>
      <x:c r="F36" s="56" t="n">
        <x:v>120</x:v>
      </x:c>
      <x:c r="G36" s="56" t="n">
        <x:v>128</x:v>
      </x:c>
      <x:c r="H36" s="60" t="n">
        <x:v>141</x:v>
      </x:c>
      <x:c r="I36" s="60" t="n">
        <x:v>159</x:v>
      </x:c>
      <x:c r="J36" s="60" t="n">
        <x:v>180</x:v>
      </x:c>
      <x:c r="K36" s="11" t="str"/>
    </x:row>
    <x:row r="37" ht="24" customHeight="1">
      <x:c r="A37" s="20" t="str">
        <x:v>[E1-5]</x:v>
      </x:c>
      <x:c r="B37" s="20" t="str">
        <x:v>E1｜匕首标记·二段穿刺</x:v>
      </x:c>
      <x:c r="C37" s="20" t="str">
        <x:v>标记持续</x:v>
      </x:c>
      <x:c r="D37" s="20" t="str">
        <x:v>秒</x:v>
      </x:c>
      <x:c r="E37" s="58" t="n">
        <x:v>5</x:v>
      </x:c>
      <x:c r="F37" s="58" t="n">
        <x:v>5.16</x:v>
      </x:c>
      <x:c r="G37" s="58" t="n">
        <x:v>5.4</x:v>
      </x:c>
      <x:c r="H37" s="62" t="n">
        <x:v>5.8</x:v>
      </x:c>
      <x:c r="I37" s="62" t="n">
        <x:v>6.34</x:v>
      </x:c>
      <x:c r="J37" s="62" t="n">
        <x:v>7</x:v>
      </x:c>
      <x:c r="K37" s="11" t="str"/>
    </x:row>
    <x:row r="38" ht="24" customHeight="1">
      <x:c r="A38" s="20" t="str">
        <x:v>[E1-6]</x:v>
      </x:c>
      <x:c r="B38" s="20" t="str">
        <x:v>E1｜匕首标记·二段穿刺</x:v>
      </x:c>
      <x:c r="C38" s="20" t="str">
        <x:v>落点选择半径</x:v>
      </x:c>
      <x:c r="D38" s="20" t="str">
        <x:v>米</x:v>
      </x:c>
      <x:c r="E38" s="58" t="n">
        <x:v>2.5</x:v>
      </x:c>
      <x:c r="F38" s="58" t="n">
        <x:v>2.5</x:v>
      </x:c>
      <x:c r="G38" s="58" t="n">
        <x:v>2.5</x:v>
      </x:c>
      <x:c r="H38" s="58" t="n">
        <x:v>2.5</x:v>
      </x:c>
      <x:c r="I38" s="58" t="n">
        <x:v>2.5</x:v>
      </x:c>
      <x:c r="J38" s="58" t="n">
        <x:v>2.5</x:v>
      </x:c>
      <x:c r="K38" s="11" t="str">
        <x:v>固定参数；不随技能等级变化</x:v>
      </x:c>
    </x:row>
    <x:row r="39" ht="24" customHeight="1">
      <x:c r="A39" s="20" t="str">
        <x:v>[E1-7]</x:v>
      </x:c>
      <x:c r="B39" s="20" t="str">
        <x:v>E1｜匕首标记·二段穿刺</x:v>
      </x:c>
      <x:c r="C39" s="20" t="str">
        <x:v>穿刺路径宽度</x:v>
      </x:c>
      <x:c r="D39" s="20" t="str">
        <x:v>米</x:v>
      </x:c>
      <x:c r="E39" s="58" t="n">
        <x:v>1.4</x:v>
      </x:c>
      <x:c r="F39" s="58" t="n">
        <x:v>1.4</x:v>
      </x:c>
      <x:c r="G39" s="58" t="n">
        <x:v>1.4</x:v>
      </x:c>
      <x:c r="H39" s="58" t="n">
        <x:v>1.4</x:v>
      </x:c>
      <x:c r="I39" s="58" t="n">
        <x:v>1.4</x:v>
      </x:c>
      <x:c r="J39" s="58" t="n">
        <x:v>1.4</x:v>
      </x:c>
      <x:c r="K39" s="11" t="str">
        <x:v>固定参数；不随技能等级变化</x:v>
      </x:c>
    </x:row>
    <x:row r="40" ht="24" customHeight="1">
      <x:c r="A40" s="20" t="str">
        <x:v>[E1-8]</x:v>
      </x:c>
      <x:c r="B40" s="20" t="str">
        <x:v>E1｜匕首标记·二段穿刺</x:v>
      </x:c>
      <x:c r="C40" s="20" t="str">
        <x:v>穿刺固定伤害</x:v>
      </x:c>
      <x:c r="D40" s="20" t="str">
        <x:v>点</x:v>
      </x:c>
      <x:c r="E40" s="56" t="n">
        <x:v>20</x:v>
      </x:c>
      <x:c r="F40" s="56" t="n">
        <x:v>29</x:v>
      </x:c>
      <x:c r="G40" s="56" t="n">
        <x:v>42</x:v>
      </x:c>
      <x:c r="H40" s="60" t="n">
        <x:v>64</x:v>
      </x:c>
      <x:c r="I40" s="60" t="n">
        <x:v>94</x:v>
      </x:c>
      <x:c r="J40" s="60" t="n">
        <x:v>130</x:v>
      </x:c>
      <x:c r="K40" s="11" t="str"/>
    </x:row>
    <x:row r="41" ht="24" customHeight="1">
      <x:c r="A41" s="20" t="str">
        <x:v>[E1-9]</x:v>
      </x:c>
      <x:c r="B41" s="20" t="str">
        <x:v>E1｜匕首标记·二段穿刺</x:v>
      </x:c>
      <x:c r="C41" s="20" t="str">
        <x:v>穿刺AD系数</x:v>
      </x:c>
      <x:c r="D41" s="20" t="str">
        <x:v>%AD</x:v>
      </x:c>
      <x:c r="E41" s="56" t="n">
        <x:v>45</x:v>
      </x:c>
      <x:c r="F41" s="56" t="n">
        <x:v>49</x:v>
      </x:c>
      <x:c r="G41" s="56" t="n">
        <x:v>54</x:v>
      </x:c>
      <x:c r="H41" s="60" t="n">
        <x:v>63</x:v>
      </x:c>
      <x:c r="I41" s="60" t="n">
        <x:v>75</x:v>
      </x:c>
      <x:c r="J41" s="60" t="n">
        <x:v>90</x:v>
      </x:c>
      <x:c r="K41" s="11" t="str"/>
    </x:row>
    <x:row r="42" ht="24" customHeight="1">
      <x:c r="A42" s="20" t="str">
        <x:v>[E1-10]</x:v>
      </x:c>
      <x:c r="B42" s="20" t="str">
        <x:v>E1｜匕首标记·二段穿刺</x:v>
      </x:c>
      <x:c r="C42" s="20" t="str">
        <x:v>基础冷却</x:v>
      </x:c>
      <x:c r="D42" s="20" t="str">
        <x:v>秒</x:v>
      </x:c>
      <x:c r="E42" s="58" t="n">
        <x:v>18</x:v>
      </x:c>
      <x:c r="F42" s="58" t="n">
        <x:v>17.64</x:v>
      </x:c>
      <x:c r="G42" s="58" t="n">
        <x:v>17.1</x:v>
      </x:c>
      <x:c r="H42" s="62" t="n">
        <x:v>16.2</x:v>
      </x:c>
      <x:c r="I42" s="62" t="n">
        <x:v>14.98</x:v>
      </x:c>
      <x:c r="J42" s="62" t="n">
        <x:v>13.5</x:v>
      </x:c>
      <x:c r="K42" s="11" t="str"/>
    </x:row>
    <x:row r="43" ht="24" customHeight="1">
      <x:c r="A43" s="30" t="str">
        <x:v>[E2-1]</x:v>
      </x:c>
      <x:c r="B43" s="30" t="str">
        <x:v>E2｜旋斩瞬移</x:v>
      </x:c>
      <x:c r="C43" s="30" t="str">
        <x:v>初始旋转圈数</x:v>
      </x:c>
      <x:c r="D43" s="30" t="str">
        <x:v>点</x:v>
      </x:c>
      <x:c r="E43" s="56" t="n">
        <x:v>1</x:v>
      </x:c>
      <x:c r="F43" s="56" t="n">
        <x:v>1</x:v>
      </x:c>
      <x:c r="G43" s="56" t="n">
        <x:v>1</x:v>
      </x:c>
      <x:c r="H43" s="56" t="n">
        <x:v>1</x:v>
      </x:c>
      <x:c r="I43" s="56" t="n">
        <x:v>1</x:v>
      </x:c>
      <x:c r="J43" s="56" t="n">
        <x:v>1</x:v>
      </x:c>
      <x:c r="K43" s="11" t="str">
        <x:v>固定参数；不随技能等级变化</x:v>
      </x:c>
    </x:row>
    <x:row r="44" ht="24" customHeight="1">
      <x:c r="A44" s="20" t="str">
        <x:v>[E2-2]</x:v>
      </x:c>
      <x:c r="B44" s="20" t="str">
        <x:v>E2｜旋斩瞬移</x:v>
      </x:c>
      <x:c r="C44" s="20" t="str">
        <x:v>旋转半径</x:v>
      </x:c>
      <x:c r="D44" s="20" t="str">
        <x:v>米</x:v>
      </x:c>
      <x:c r="E44" s="58" t="n">
        <x:v>2.3</x:v>
      </x:c>
      <x:c r="F44" s="58" t="n">
        <x:v>2.36</x:v>
      </x:c>
      <x:c r="G44" s="58" t="n">
        <x:v>2.46</x:v>
      </x:c>
      <x:c r="H44" s="62" t="n">
        <x:v>2.62</x:v>
      </x:c>
      <x:c r="I44" s="62" t="n">
        <x:v>2.84</x:v>
      </x:c>
      <x:c r="J44" s="62" t="n">
        <x:v>3.1</x:v>
      </x:c>
      <x:c r="K44" s="11" t="str"/>
    </x:row>
    <x:row r="45" ht="24" customHeight="1">
      <x:c r="A45" s="20" t="str">
        <x:v>[E2-3]</x:v>
      </x:c>
      <x:c r="B45" s="20" t="str">
        <x:v>E2｜旋斩瞬移</x:v>
      </x:c>
      <x:c r="C45" s="20" t="str">
        <x:v>每圈固定伤害</x:v>
      </x:c>
      <x:c r="D45" s="20" t="str">
        <x:v>点</x:v>
      </x:c>
      <x:c r="E45" s="56" t="n">
        <x:v>30</x:v>
      </x:c>
      <x:c r="F45" s="56" t="n">
        <x:v>43</x:v>
      </x:c>
      <x:c r="G45" s="56" t="n">
        <x:v>62</x:v>
      </x:c>
      <x:c r="H45" s="60" t="n">
        <x:v>94</x:v>
      </x:c>
      <x:c r="I45" s="60" t="n">
        <x:v>137</x:v>
      </x:c>
      <x:c r="J45" s="60" t="n">
        <x:v>190</x:v>
      </x:c>
      <x:c r="K45" s="11" t="str"/>
    </x:row>
    <x:row r="46" ht="24" customHeight="1">
      <x:c r="A46" s="20" t="str">
        <x:v>[E2-4]</x:v>
      </x:c>
      <x:c r="B46" s="20" t="str">
        <x:v>E2｜旋斩瞬移</x:v>
      </x:c>
      <x:c r="C46" s="20" t="str">
        <x:v>每圈AD系数</x:v>
      </x:c>
      <x:c r="D46" s="20" t="str">
        <x:v>%AD</x:v>
      </x:c>
      <x:c r="E46" s="56" t="n">
        <x:v>65</x:v>
      </x:c>
      <x:c r="F46" s="56" t="n">
        <x:v>69</x:v>
      </x:c>
      <x:c r="G46" s="56" t="n">
        <x:v>75</x:v>
      </x:c>
      <x:c r="H46" s="60" t="n">
        <x:v>85</x:v>
      </x:c>
      <x:c r="I46" s="60" t="n">
        <x:v>98</x:v>
      </x:c>
      <x:c r="J46" s="60" t="n">
        <x:v>115</x:v>
      </x:c>
      <x:c r="K46" s="11" t="str"/>
    </x:row>
    <x:row r="47" ht="24" customHeight="1">
      <x:c r="A47" s="20" t="str">
        <x:v>[E2-5]</x:v>
      </x:c>
      <x:c r="B47" s="20" t="str">
        <x:v>E2｜旋斩瞬移</x:v>
      </x:c>
      <x:c r="C47" s="20" t="str">
        <x:v>初始旋转总时长</x:v>
      </x:c>
      <x:c r="D47" s="20" t="str">
        <x:v>秒</x:v>
      </x:c>
      <x:c r="E47" s="58" t="n">
        <x:v>0.45</x:v>
      </x:c>
      <x:c r="F47" s="58" t="n">
        <x:v>0.45</x:v>
      </x:c>
      <x:c r="G47" s="58" t="n">
        <x:v>0.45</x:v>
      </x:c>
      <x:c r="H47" s="58" t="n">
        <x:v>0.45</x:v>
      </x:c>
      <x:c r="I47" s="58" t="n">
        <x:v>0.45</x:v>
      </x:c>
      <x:c r="J47" s="58" t="n">
        <x:v>0.45</x:v>
      </x:c>
      <x:c r="K47" s="11" t="str">
        <x:v>固定参数；不随技能等级变化</x:v>
      </x:c>
    </x:row>
    <x:row r="48" ht="24" customHeight="1">
      <x:c r="A48" s="20" t="str">
        <x:v>[E2-6]</x:v>
      </x:c>
      <x:c r="B48" s="20" t="str">
        <x:v>E2｜旋斩瞬移</x:v>
      </x:c>
      <x:c r="C48" s="20" t="str">
        <x:v>瞬移上限</x:v>
      </x:c>
      <x:c r="D48" s="20" t="str">
        <x:v>米</x:v>
      </x:c>
      <x:c r="E48" s="58" t="n">
        <x:v>5</x:v>
      </x:c>
      <x:c r="F48" s="58" t="n">
        <x:v>5.16</x:v>
      </x:c>
      <x:c r="G48" s="58" t="n">
        <x:v>5.4</x:v>
      </x:c>
      <x:c r="H48" s="62" t="n">
        <x:v>5.8</x:v>
      </x:c>
      <x:c r="I48" s="62" t="n">
        <x:v>6.34</x:v>
      </x:c>
      <x:c r="J48" s="62" t="n">
        <x:v>7</x:v>
      </x:c>
      <x:c r="K48" s="11" t="str"/>
    </x:row>
    <x:row r="49" ht="24" customHeight="1">
      <x:c r="A49" s="20" t="str">
        <x:v>[E2-7]</x:v>
      </x:c>
      <x:c r="B49" s="20" t="str">
        <x:v>E2｜旋斩瞬移</x:v>
      </x:c>
      <x:c r="C49" s="20" t="str">
        <x:v>落点判敌半径</x:v>
      </x:c>
      <x:c r="D49" s="20" t="str">
        <x:v>米</x:v>
      </x:c>
      <x:c r="E49" s="56" t="n">
        <x:v>3</x:v>
      </x:c>
      <x:c r="F49" s="56" t="n">
        <x:v>3</x:v>
      </x:c>
      <x:c r="G49" s="56" t="n">
        <x:v>3</x:v>
      </x:c>
      <x:c r="H49" s="56" t="n">
        <x:v>3</x:v>
      </x:c>
      <x:c r="I49" s="56" t="n">
        <x:v>3</x:v>
      </x:c>
      <x:c r="J49" s="56" t="n">
        <x:v>3</x:v>
      </x:c>
      <x:c r="K49" s="11" t="str">
        <x:v>固定参数；不随技能等级变化</x:v>
      </x:c>
    </x:row>
    <x:row r="50" ht="24" customHeight="1">
      <x:c r="A50" s="20" t="str">
        <x:v>[E2-8]</x:v>
      </x:c>
      <x:c r="B50" s="20" t="str">
        <x:v>E2｜旋斩瞬移</x:v>
      </x:c>
      <x:c r="C50" s="20" t="str">
        <x:v>落点有敌无敌时长</x:v>
      </x:c>
      <x:c r="D50" s="20" t="str">
        <x:v>秒</x:v>
      </x:c>
      <x:c r="E50" s="58" t="n">
        <x:v>1</x:v>
      </x:c>
      <x:c r="F50" s="58" t="n">
        <x:v>1.02</x:v>
      </x:c>
      <x:c r="G50" s="58" t="n">
        <x:v>1.06</x:v>
      </x:c>
      <x:c r="H50" s="62" t="n">
        <x:v>1.12</x:v>
      </x:c>
      <x:c r="I50" s="62" t="n">
        <x:v>1.2</x:v>
      </x:c>
      <x:c r="J50" s="62" t="n">
        <x:v>1.3</x:v>
      </x:c>
      <x:c r="K50" s="11" t="str"/>
    </x:row>
    <x:row r="51" ht="24" customHeight="1">
      <x:c r="A51" s="20" t="str">
        <x:v>[E2-9]</x:v>
      </x:c>
      <x:c r="B51" s="20" t="str">
        <x:v>E2｜旋斩瞬移</x:v>
      </x:c>
      <x:c r="C51" s="20" t="str">
        <x:v>基础冷却</x:v>
      </x:c>
      <x:c r="D51" s="20" t="str">
        <x:v>秒</x:v>
      </x:c>
      <x:c r="E51" s="58" t="n">
        <x:v>17</x:v>
      </x:c>
      <x:c r="F51" s="58" t="n">
        <x:v>16.68</x:v>
      </x:c>
      <x:c r="G51" s="58" t="n">
        <x:v>16.2</x:v>
      </x:c>
      <x:c r="H51" s="62" t="n">
        <x:v>15.4</x:v>
      </x:c>
      <x:c r="I51" s="62" t="n">
        <x:v>14.32</x:v>
      </x:c>
      <x:c r="J51" s="62" t="n">
        <x:v>13</x:v>
      </x:c>
      <x:c r="K51" s="11" t="str"/>
    </x:row>
    <x:row r="52" ht="24" customHeight="1">
      <x:c r="A52" s="30" t="str">
        <x:v>[E3-1]</x:v>
      </x:c>
      <x:c r="B52" s="30" t="str">
        <x:v>E3｜超载</x:v>
      </x:c>
      <x:c r="C52" s="30" t="str">
        <x:v>超载基础持续</x:v>
      </x:c>
      <x:c r="D52" s="30" t="str">
        <x:v>秒</x:v>
      </x:c>
      <x:c r="E52" s="58" t="n">
        <x:v>7</x:v>
      </x:c>
      <x:c r="F52" s="58" t="n">
        <x:v>7.24</x:v>
      </x:c>
      <x:c r="G52" s="58" t="n">
        <x:v>7.6</x:v>
      </x:c>
      <x:c r="H52" s="62" t="n">
        <x:v>8.2</x:v>
      </x:c>
      <x:c r="I52" s="62" t="n">
        <x:v>9.01</x:v>
      </x:c>
      <x:c r="J52" s="62" t="n">
        <x:v>10</x:v>
      </x:c>
      <x:c r="K52" s="11" t="str"/>
    </x:row>
    <x:row r="53" ht="24" customHeight="1">
      <x:c r="A53" s="20" t="str">
        <x:v>[E3-2]</x:v>
      </x:c>
      <x:c r="B53" s="20" t="str">
        <x:v>E3｜超载</x:v>
      </x:c>
      <x:c r="C53" s="20" t="str">
        <x:v>移速加成</x:v>
      </x:c>
      <x:c r="D53" s="20" t="str">
        <x:v>%</x:v>
      </x:c>
      <x:c r="E53" s="56" t="n">
        <x:v>30</x:v>
      </x:c>
      <x:c r="F53" s="56" t="n">
        <x:v>32</x:v>
      </x:c>
      <x:c r="G53" s="56" t="n">
        <x:v>35</x:v>
      </x:c>
      <x:c r="H53" s="60" t="n">
        <x:v>40</x:v>
      </x:c>
      <x:c r="I53" s="60" t="n">
        <x:v>47</x:v>
      </x:c>
      <x:c r="J53" s="60" t="n">
        <x:v>55</x:v>
      </x:c>
      <x:c r="K53" s="11" t="str"/>
    </x:row>
    <x:row r="54" ht="24" customHeight="1">
      <x:c r="A54" s="20" t="str">
        <x:v>[E3-3]</x:v>
      </x:c>
      <x:c r="B54" s="20" t="str">
        <x:v>E3｜超载</x:v>
      </x:c>
      <x:c r="C54" s="20" t="str">
        <x:v>攻速加成</x:v>
      </x:c>
      <x:c r="D54" s="20" t="str">
        <x:v>%</x:v>
      </x:c>
      <x:c r="E54" s="56" t="n">
        <x:v>30</x:v>
      </x:c>
      <x:c r="F54" s="56" t="n">
        <x:v>33</x:v>
      </x:c>
      <x:c r="G54" s="56" t="n">
        <x:v>38</x:v>
      </x:c>
      <x:c r="H54" s="60" t="n">
        <x:v>46</x:v>
      </x:c>
      <x:c r="I54" s="60" t="n">
        <x:v>57</x:v>
      </x:c>
      <x:c r="J54" s="60" t="n">
        <x:v>70</x:v>
      </x:c>
      <x:c r="K54" s="11" t="str"/>
    </x:row>
    <x:row r="55" ht="24" customHeight="1">
      <x:c r="A55" s="20" t="str">
        <x:v>[E3-4]</x:v>
      </x:c>
      <x:c r="B55" s="20" t="str">
        <x:v>E3｜超载</x:v>
      </x:c>
      <x:c r="C55" s="20" t="str">
        <x:v>韧性加成</x:v>
      </x:c>
      <x:c r="D55" s="20" t="str">
        <x:v>%</x:v>
      </x:c>
      <x:c r="E55" s="56" t="n">
        <x:v>30</x:v>
      </x:c>
      <x:c r="F55" s="56" t="n">
        <x:v>32</x:v>
      </x:c>
      <x:c r="G55" s="56" t="n">
        <x:v>34</x:v>
      </x:c>
      <x:c r="H55" s="60" t="n">
        <x:v>38</x:v>
      </x:c>
      <x:c r="I55" s="60" t="n">
        <x:v>43</x:v>
      </x:c>
      <x:c r="J55" s="60" t="n">
        <x:v>50</x:v>
      </x:c>
      <x:c r="K55" s="11" t="str"/>
    </x:row>
    <x:row r="56" ht="24" customHeight="1">
      <x:c r="A56" s="20" t="str">
        <x:v>[E3-5]</x:v>
      </x:c>
      <x:c r="B56" s="20" t="str">
        <x:v>E3｜超载</x:v>
      </x:c>
      <x:c r="C56" s="20" t="str">
        <x:v>普攻追加真实伤害比例</x:v>
      </x:c>
      <x:c r="D56" s="20" t="str">
        <x:v>%</x:v>
      </x:c>
      <x:c r="E56" s="56" t="n">
        <x:v>25</x:v>
      </x:c>
      <x:c r="F56" s="56" t="n">
        <x:v>27</x:v>
      </x:c>
      <x:c r="G56" s="56" t="n">
        <x:v>29</x:v>
      </x:c>
      <x:c r="H56" s="60" t="n">
        <x:v>33</x:v>
      </x:c>
      <x:c r="I56" s="60" t="n">
        <x:v>38</x:v>
      </x:c>
      <x:c r="J56" s="60" t="n">
        <x:v>45</x:v>
      </x:c>
      <x:c r="K56" s="11" t="str"/>
    </x:row>
    <x:row r="57" ht="24" customHeight="1">
      <x:c r="A57" s="20" t="str">
        <x:v>[E3-6]</x:v>
      </x:c>
      <x:c r="B57" s="20" t="str">
        <x:v>E3｜超载</x:v>
      </x:c>
      <x:c r="C57" s="20" t="str">
        <x:v>Shift基础冷却缩减</x:v>
      </x:c>
      <x:c r="D57" s="20" t="str">
        <x:v>%</x:v>
      </x:c>
      <x:c r="E57" s="56" t="n">
        <x:v>50</x:v>
      </x:c>
      <x:c r="F57" s="56" t="n">
        <x:v>51</x:v>
      </x:c>
      <x:c r="G57" s="56" t="n">
        <x:v>53</x:v>
      </x:c>
      <x:c r="H57" s="60" t="n">
        <x:v>56</x:v>
      </x:c>
      <x:c r="I57" s="60" t="n">
        <x:v>60</x:v>
      </x:c>
      <x:c r="J57" s="60" t="n">
        <x:v>65</x:v>
      </x:c>
      <x:c r="K57" s="11" t="str"/>
    </x:row>
    <x:row r="58" ht="24" customHeight="1">
      <x:c r="A58" s="20" t="str">
        <x:v>[E3-7]</x:v>
      </x:c>
      <x:c r="B58" s="20" t="str">
        <x:v>E3｜超载</x:v>
      </x:c>
      <x:c r="C58" s="20" t="str">
        <x:v>每击杀延长持续</x:v>
      </x:c>
      <x:c r="D58" s="20" t="str">
        <x:v>秒</x:v>
      </x:c>
      <x:c r="E58" s="58" t="n">
        <x:v>1.5</x:v>
      </x:c>
      <x:c r="F58" s="58" t="n">
        <x:v>1.54</x:v>
      </x:c>
      <x:c r="G58" s="58" t="n">
        <x:v>1.6</x:v>
      </x:c>
      <x:c r="H58" s="62" t="n">
        <x:v>1.7</x:v>
      </x:c>
      <x:c r="I58" s="62" t="n">
        <x:v>1.83</x:v>
      </x:c>
      <x:c r="J58" s="62" t="n">
        <x:v>2</x:v>
      </x:c>
      <x:c r="K58" s="11" t="str"/>
    </x:row>
    <x:row r="59" ht="24" customHeight="1">
      <x:c r="A59" s="20" t="str">
        <x:v>[E3-8]</x:v>
      </x:c>
      <x:c r="B59" s="20" t="str">
        <x:v>E3｜超载</x:v>
      </x:c>
      <x:c r="C59" s="20" t="str">
        <x:v>基础冷却</x:v>
      </x:c>
      <x:c r="D59" s="20" t="str">
        <x:v>秒</x:v>
      </x:c>
      <x:c r="E59" s="58" t="n">
        <x:v>32</x:v>
      </x:c>
      <x:c r="F59" s="58" t="n">
        <x:v>31.36</x:v>
      </x:c>
      <x:c r="G59" s="58" t="n">
        <x:v>30.4</x:v>
      </x:c>
      <x:c r="H59" s="62" t="n">
        <x:v>28.8</x:v>
      </x:c>
      <x:c r="I59" s="62" t="n">
        <x:v>26.64</x:v>
      </x:c>
      <x:c r="J59" s="62" t="n">
        <x:v>24</x:v>
      </x:c>
      <x:c r="K59" s="11" t="str"/>
    </x:row>
    <x:row r="60" ht="24" customHeight="1">
      <x:c r="A60" s="30" t="str">
        <x:v>[P1-1]</x:v>
      </x:c>
      <x:c r="B60" s="30" t="str">
        <x:v>P1｜吸血剑势</x:v>
      </x:c>
      <x:c r="C60" s="30" t="str">
        <x:v>普通攻击吸血</x:v>
      </x:c>
      <x:c r="D60" s="30" t="str">
        <x:v>%</x:v>
      </x:c>
      <x:c r="E60" s="56" t="n">
        <x:v>3</x:v>
      </x:c>
      <x:c r="F60" s="56" t="n">
        <x:v>5</x:v>
      </x:c>
      <x:c r="G60" s="60" t="n">
        <x:v>9</x:v>
      </x:c>
      <x:c r="H60" s="60" t="n">
        <x:v>15</x:v>
      </x:c>
      <x:c r="I60" s="34"/>
      <x:c r="J60" s="34"/>
      <x:c r="K60" s="11" t="str"/>
    </x:row>
    <x:row r="61" ht="24" customHeight="1">
      <x:c r="A61" s="30" t="str">
        <x:v>[P2-1]</x:v>
      </x:c>
      <x:c r="B61" s="30" t="str">
        <x:v>P2｜绝境反击</x:v>
      </x:c>
      <x:c r="C61" s="30" t="str">
        <x:v>触发生命阈值</x:v>
      </x:c>
      <x:c r="D61" s="30" t="str">
        <x:v>%</x:v>
      </x:c>
      <x:c r="E61" s="56" t="n">
        <x:v>10</x:v>
      </x:c>
      <x:c r="F61" s="56" t="n">
        <x:v>10</x:v>
      </x:c>
      <x:c r="G61" s="56" t="n">
        <x:v>10</x:v>
      </x:c>
      <x:c r="H61" s="56" t="n">
        <x:v>10</x:v>
      </x:c>
      <x:c r="I61" s="34"/>
      <x:c r="J61" s="34"/>
      <x:c r="K61" s="11" t="str">
        <x:v>固定参数；不随技能等级变化</x:v>
      </x:c>
    </x:row>
    <x:row r="62" ht="24" customHeight="1">
      <x:c r="A62" s="20" t="str">
        <x:v>[P2-2]</x:v>
      </x:c>
      <x:c r="B62" s="20" t="str">
        <x:v>P2｜绝境反击</x:v>
      </x:c>
      <x:c r="C62" s="20" t="str">
        <x:v>最大生命恢复比例</x:v>
      </x:c>
      <x:c r="D62" s="20" t="str">
        <x:v>%</x:v>
      </x:c>
      <x:c r="E62" s="56" t="n">
        <x:v>8</x:v>
      </x:c>
      <x:c r="F62" s="56" t="n">
        <x:v>12</x:v>
      </x:c>
      <x:c r="G62" s="60" t="n">
        <x:v>20</x:v>
      </x:c>
      <x:c r="H62" s="60" t="n">
        <x:v>32</x:v>
      </x:c>
      <x:c r="I62" s="34"/>
      <x:c r="J62" s="34"/>
      <x:c r="K62" s="11" t="str"/>
    </x:row>
    <x:row r="63" ht="24" customHeight="1">
      <x:c r="A63" s="20" t="str">
        <x:v>[P2-3]</x:v>
      </x:c>
      <x:c r="B63" s="20" t="str">
        <x:v>P2｜绝境反击</x:v>
      </x:c>
      <x:c r="C63" s="20" t="str">
        <x:v>触发冷却</x:v>
      </x:c>
      <x:c r="D63" s="20" t="str">
        <x:v>秒</x:v>
      </x:c>
      <x:c r="E63" s="56" t="n">
        <x:v>120</x:v>
      </x:c>
      <x:c r="F63" s="56" t="n">
        <x:v>108</x:v>
      </x:c>
      <x:c r="G63" s="60" t="n">
        <x:v>85</x:v>
      </x:c>
      <x:c r="H63" s="60" t="n">
        <x:v>55</x:v>
      </x:c>
      <x:c r="I63" s="34"/>
      <x:c r="J63" s="34"/>
      <x:c r="K63" s="11" t="str"/>
    </x:row>
    <x:row r="64" ht="24" customHeight="1">
      <x:c r="A64" s="30" t="str">
        <x:v>[P3-1]</x:v>
      </x:c>
      <x:c r="B64" s="30" t="str">
        <x:v>P3｜杀意淬锋</x:v>
      </x:c>
      <x:c r="C64" s="30" t="str">
        <x:v>每次成长击杀要求</x:v>
      </x:c>
      <x:c r="D64" s="30" t="str">
        <x:v>次</x:v>
      </x:c>
      <x:c r="E64" s="56" t="n">
        <x:v>10</x:v>
      </x:c>
      <x:c r="F64" s="56" t="n">
        <x:v>9</x:v>
      </x:c>
      <x:c r="G64" s="60" t="n">
        <x:v>7</x:v>
      </x:c>
      <x:c r="H64" s="60" t="n">
        <x:v>4</x:v>
      </x:c>
      <x:c r="I64" s="34"/>
      <x:c r="J64" s="34"/>
      <x:c r="K64" s="11" t="str"/>
    </x:row>
    <x:row r="65" ht="24" customHeight="1">
      <x:c r="A65" s="20" t="str">
        <x:v>[P3-2]</x:v>
      </x:c>
      <x:c r="B65" s="20" t="str">
        <x:v>P3｜杀意淬锋</x:v>
      </x:c>
      <x:c r="C65" s="20" t="str">
        <x:v>每次永久攻击力</x:v>
      </x:c>
      <x:c r="D65" s="20" t="str">
        <x:v>点</x:v>
      </x:c>
      <x:c r="E65" s="56" t="n">
        <x:v>1</x:v>
      </x:c>
      <x:c r="F65" s="56" t="n">
        <x:v>1</x:v>
      </x:c>
      <x:c r="G65" s="56" t="n">
        <x:v>1</x:v>
      </x:c>
      <x:c r="H65" s="56" t="n">
        <x:v>1</x:v>
      </x:c>
      <x:c r="I65" s="34"/>
      <x:c r="J65" s="34"/>
      <x:c r="K65" s="11" t="str">
        <x:v>固定参数；不随技能等级变化</x:v>
      </x:c>
    </x:row>
    <x:row r="66" ht="24" customHeight="1">
      <x:c r="A66" s="30" t="str">
        <x:v>[R1-1]</x:v>
      </x:c>
      <x:c r="B66" s="30" t="str">
        <x:v>R1｜乱星斩</x:v>
      </x:c>
      <x:c r="C66" s="30" t="str">
        <x:v>大招半径</x:v>
      </x:c>
      <x:c r="D66" s="30" t="str">
        <x:v>米</x:v>
      </x:c>
      <x:c r="E66" s="58" t="n">
        <x:v>14</x:v>
      </x:c>
      <x:c r="F66" s="58" t="n">
        <x:v>14.72</x:v>
      </x:c>
      <x:c r="G66" s="62" t="n">
        <x:v>16</x:v>
      </x:c>
      <x:c r="H66" s="62" t="n">
        <x:v>18</x:v>
      </x:c>
      <x:c r="I66" s="34"/>
      <x:c r="J66" s="34"/>
      <x:c r="K66" s="11" t="str"/>
    </x:row>
    <x:row r="67" ht="24" customHeight="1">
      <x:c r="A67" s="20" t="str">
        <x:v>[R1-2]</x:v>
      </x:c>
      <x:c r="B67" s="20" t="str">
        <x:v>R1｜乱星斩</x:v>
      </x:c>
      <x:c r="C67" s="20" t="str">
        <x:v>固定伤害</x:v>
      </x:c>
      <x:c r="D67" s="20" t="str">
        <x:v>点</x:v>
      </x:c>
      <x:c r="E67" s="56" t="n">
        <x:v>400</x:v>
      </x:c>
      <x:c r="F67" s="56" t="n">
        <x:v>520</x:v>
      </x:c>
      <x:c r="G67" s="60" t="n">
        <x:v>820</x:v>
      </x:c>
      <x:c r="H67" s="60" t="n">
        <x:v>1320</x:v>
      </x:c>
      <x:c r="I67" s="34"/>
      <x:c r="J67" s="34"/>
      <x:c r="K67" s="11" t="str"/>
    </x:row>
    <x:row r="68" ht="24" customHeight="1">
      <x:c r="A68" s="20" t="str">
        <x:v>[R1-3]</x:v>
      </x:c>
      <x:c r="B68" s="20" t="str">
        <x:v>R1｜乱星斩</x:v>
      </x:c>
      <x:c r="C68" s="20" t="str">
        <x:v>AD系数</x:v>
      </x:c>
      <x:c r="D68" s="20" t="str">
        <x:v>%AD</x:v>
      </x:c>
      <x:c r="E68" s="56" t="n">
        <x:v>400</x:v>
      </x:c>
      <x:c r="F68" s="56" t="n">
        <x:v>450</x:v>
      </x:c>
      <x:c r="G68" s="60" t="n">
        <x:v>560</x:v>
      </x:c>
      <x:c r="H68" s="60" t="n">
        <x:v>740</x:v>
      </x:c>
      <x:c r="I68" s="34"/>
      <x:c r="J68" s="34"/>
      <x:c r="K68" s="11" t="str"/>
    </x:row>
    <x:row r="69" ht="24" customHeight="1">
      <x:c r="A69" s="20" t="str">
        <x:v>[R1-4]</x:v>
      </x:c>
      <x:c r="B69" s="20" t="str">
        <x:v>R1｜乱星斩</x:v>
      </x:c>
      <x:c r="C69" s="20" t="str">
        <x:v>斩杀生命阈值</x:v>
      </x:c>
      <x:c r="D69" s="20" t="str">
        <x:v>%</x:v>
      </x:c>
      <x:c r="E69" s="58" t="n">
        <x:v>5</x:v>
      </x:c>
      <x:c r="F69" s="58" t="n">
        <x:v>6</x:v>
      </x:c>
      <x:c r="G69" s="62" t="n">
        <x:v>8.5</x:v>
      </x:c>
      <x:c r="H69" s="62" t="n">
        <x:v>12</x:v>
      </x:c>
      <x:c r="I69" s="34"/>
      <x:c r="J69" s="34"/>
      <x:c r="K69" s="11" t="str"/>
    </x:row>
    <x:row r="70" ht="24" customHeight="1">
      <x:c r="A70" s="20" t="str">
        <x:v>[R1-5]</x:v>
      </x:c>
      <x:c r="B70" s="20" t="str">
        <x:v>R1｜乱星斩</x:v>
      </x:c>
      <x:c r="C70" s="20" t="str">
        <x:v>大招演出时长</x:v>
      </x:c>
      <x:c r="D70" s="20" t="str">
        <x:v>秒</x:v>
      </x:c>
      <x:c r="E70" s="58" t="n">
        <x:v>1.6</x:v>
      </x:c>
      <x:c r="F70" s="58" t="n">
        <x:v>1.6</x:v>
      </x:c>
      <x:c r="G70" s="58" t="n">
        <x:v>1.6</x:v>
      </x:c>
      <x:c r="H70" s="58" t="n">
        <x:v>1.6</x:v>
      </x:c>
      <x:c r="I70" s="34"/>
      <x:c r="J70" s="34"/>
      <x:c r="K70" s="11" t="str">
        <x:v>固定参数；不随技能等级变化</x:v>
      </x:c>
    </x:row>
    <x:row r="71" ht="24" customHeight="1">
      <x:c r="A71" s="20" t="str">
        <x:v>[R1-6]</x:v>
      </x:c>
      <x:c r="B71" s="20" t="str">
        <x:v>R1｜乱星斩</x:v>
      </x:c>
      <x:c r="C71" s="20" t="str">
        <x:v>基础冷却</x:v>
      </x:c>
      <x:c r="D71" s="20" t="str">
        <x:v>秒</x:v>
      </x:c>
      <x:c r="E71" s="56" t="n">
        <x:v>130</x:v>
      </x:c>
      <x:c r="F71" s="56" t="n">
        <x:v>122</x:v>
      </x:c>
      <x:c r="G71" s="60" t="n">
        <x:v>110</x:v>
      </x:c>
      <x:c r="H71" s="60" t="n">
        <x:v>94</x:v>
      </x:c>
      <x:c r="I71" s="34"/>
      <x:c r="J71" s="34"/>
      <x:c r="K71" s="11" t="str"/>
    </x:row>
    <x:row r="72" ht="24" customHeight="1">
      <x:c r="A72" s="30" t="str">
        <x:v>[R2-1]</x:v>
      </x:c>
      <x:c r="B72" s="30" t="str">
        <x:v>R2｜骨钉雨</x:v>
      </x:c>
      <x:c r="C72" s="30" t="str">
        <x:v>单根固定伤害</x:v>
      </x:c>
      <x:c r="D72" s="30" t="str">
        <x:v>点</x:v>
      </x:c>
      <x:c r="E72" s="56" t="n">
        <x:v>10</x:v>
      </x:c>
      <x:c r="F72" s="56" t="n">
        <x:v>15</x:v>
      </x:c>
      <x:c r="G72" s="60" t="n">
        <x:v>26</x:v>
      </x:c>
      <x:c r="H72" s="60" t="n">
        <x:v>45</x:v>
      </x:c>
      <x:c r="I72" s="34"/>
      <x:c r="J72" s="34"/>
      <x:c r="K72" s="11" t="str"/>
    </x:row>
    <x:row r="73" ht="24" customHeight="1">
      <x:c r="A73" s="20" t="str">
        <x:v>[R2-2]</x:v>
      </x:c>
      <x:c r="B73" s="20" t="str">
        <x:v>R2｜骨钉雨</x:v>
      </x:c>
      <x:c r="C73" s="20" t="str">
        <x:v>单根AD系数</x:v>
      </x:c>
      <x:c r="D73" s="20" t="str">
        <x:v>%AD</x:v>
      </x:c>
      <x:c r="E73" s="56" t="n">
        <x:v>40</x:v>
      </x:c>
      <x:c r="F73" s="56" t="n">
        <x:v>46</x:v>
      </x:c>
      <x:c r="G73" s="60" t="n">
        <x:v>59</x:v>
      </x:c>
      <x:c r="H73" s="60" t="n">
        <x:v>80</x:v>
      </x:c>
      <x:c r="I73" s="34"/>
      <x:c r="J73" s="34"/>
      <x:c r="K73" s="11" t="str"/>
    </x:row>
    <x:row r="74" ht="24" customHeight="1">
      <x:c r="A74" s="20" t="str">
        <x:v>[R2-3]</x:v>
      </x:c>
      <x:c r="B74" s="20" t="str">
        <x:v>R2｜骨钉雨</x:v>
      </x:c>
      <x:c r="C74" s="20" t="str">
        <x:v>目标最大生命伤害比例</x:v>
      </x:c>
      <x:c r="D74" s="20" t="str">
        <x:v>%</x:v>
      </x:c>
      <x:c r="E74" s="58" t="n">
        <x:v>0.25</x:v>
      </x:c>
      <x:c r="F74" s="58" t="n">
        <x:v>0.28</x:v>
      </x:c>
      <x:c r="G74" s="62" t="n">
        <x:v>0.35</x:v>
      </x:c>
      <x:c r="H74" s="62" t="n">
        <x:v>0.45</x:v>
      </x:c>
      <x:c r="I74" s="34"/>
      <x:c r="J74" s="34"/>
      <x:c r="K74" s="11" t="str"/>
    </x:row>
    <x:row r="75" ht="24" customHeight="1">
      <x:c r="A75" s="20" t="str">
        <x:v>[R2-4]</x:v>
      </x:c>
      <x:c r="B75" s="20" t="str">
        <x:v>R2｜骨钉雨</x:v>
      </x:c>
      <x:c r="C75" s="20" t="str">
        <x:v>减速比例</x:v>
      </x:c>
      <x:c r="D75" s="20" t="str">
        <x:v>%</x:v>
      </x:c>
      <x:c r="E75" s="58" t="n">
        <x:v>30</x:v>
      </x:c>
      <x:c r="F75" s="58" t="n">
        <x:v>32.7</x:v>
      </x:c>
      <x:c r="G75" s="62" t="n">
        <x:v>37.5</x:v>
      </x:c>
      <x:c r="H75" s="62" t="n">
        <x:v>45</x:v>
      </x:c>
      <x:c r="I75" s="34"/>
      <x:c r="J75" s="34"/>
      <x:c r="K75" s="11" t="str"/>
    </x:row>
    <x:row r="76" ht="24" customHeight="1">
      <x:c r="A76" s="20" t="str">
        <x:v>[R2-5]</x:v>
      </x:c>
      <x:c r="B76" s="20" t="str">
        <x:v>R2｜骨钉雨</x:v>
      </x:c>
      <x:c r="C76" s="20" t="str">
        <x:v>减速持续</x:v>
      </x:c>
      <x:c r="D76" s="20" t="str">
        <x:v>秒</x:v>
      </x:c>
      <x:c r="E76" s="58" t="n">
        <x:v>3</x:v>
      </x:c>
      <x:c r="F76" s="58" t="n">
        <x:v>3.18</x:v>
      </x:c>
      <x:c r="G76" s="62" t="n">
        <x:v>3.5</x:v>
      </x:c>
      <x:c r="H76" s="62" t="n">
        <x:v>4</x:v>
      </x:c>
      <x:c r="I76" s="34"/>
      <x:c r="J76" s="34"/>
      <x:c r="K76" s="11" t="str"/>
    </x:row>
    <x:row r="77" ht="24" customHeight="1">
      <x:c r="A77" s="20" t="str">
        <x:v>[R2-6]</x:v>
      </x:c>
      <x:c r="B77" s="20" t="str">
        <x:v>R2｜骨钉雨</x:v>
      </x:c>
      <x:c r="C77" s="20" t="str">
        <x:v>矩形长度</x:v>
      </x:c>
      <x:c r="D77" s="20" t="str">
        <x:v>米</x:v>
      </x:c>
      <x:c r="E77" s="56" t="n">
        <x:v>16</x:v>
      </x:c>
      <x:c r="F77" s="56" t="n">
        <x:v>16</x:v>
      </x:c>
      <x:c r="G77" s="56" t="n">
        <x:v>16</x:v>
      </x:c>
      <x:c r="H77" s="56" t="n">
        <x:v>16</x:v>
      </x:c>
      <x:c r="I77" s="34"/>
      <x:c r="J77" s="34"/>
      <x:c r="K77" s="11" t="str">
        <x:v>固定参数；不随技能等级变化</x:v>
      </x:c>
    </x:row>
    <x:row r="78" ht="24" customHeight="1">
      <x:c r="A78" s="20" t="str">
        <x:v>[R2-7]</x:v>
      </x:c>
      <x:c r="B78" s="20" t="str">
        <x:v>R2｜骨钉雨</x:v>
      </x:c>
      <x:c r="C78" s="20" t="str">
        <x:v>矩形宽度</x:v>
      </x:c>
      <x:c r="D78" s="20" t="str">
        <x:v>米</x:v>
      </x:c>
      <x:c r="E78" s="58" t="n">
        <x:v>2.8</x:v>
      </x:c>
      <x:c r="F78" s="58" t="n">
        <x:v>2.8</x:v>
      </x:c>
      <x:c r="G78" s="58" t="n">
        <x:v>2.8</x:v>
      </x:c>
      <x:c r="H78" s="58" t="n">
        <x:v>2.8</x:v>
      </x:c>
      <x:c r="I78" s="34"/>
      <x:c r="J78" s="34"/>
      <x:c r="K78" s="11" t="str">
        <x:v>固定参数；不随技能等级变化</x:v>
      </x:c>
    </x:row>
    <x:row r="79" ht="24" customHeight="1">
      <x:c r="A79" s="20" t="str">
        <x:v>[R2-8]</x:v>
      </x:c>
      <x:c r="B79" s="20" t="str">
        <x:v>R2｜骨钉雨</x:v>
      </x:c>
      <x:c r="C79" s="20" t="str">
        <x:v>骨钉速度</x:v>
      </x:c>
      <x:c r="D79" s="20" t="str">
        <x:v>米/秒</x:v>
      </x:c>
      <x:c r="E79" s="56" t="n">
        <x:v>28</x:v>
      </x:c>
      <x:c r="F79" s="56" t="n">
        <x:v>28</x:v>
      </x:c>
      <x:c r="G79" s="56" t="n">
        <x:v>28</x:v>
      </x:c>
      <x:c r="H79" s="56" t="n">
        <x:v>28</x:v>
      </x:c>
      <x:c r="I79" s="34"/>
      <x:c r="J79" s="34"/>
      <x:c r="K79" s="11" t="str">
        <x:v>固定参数；不随技能等级变化</x:v>
      </x:c>
    </x:row>
    <x:row r="80" ht="24" customHeight="1">
      <x:c r="A80" s="20" t="str">
        <x:v>[R2-9]</x:v>
      </x:c>
      <x:c r="B80" s="20" t="str">
        <x:v>R2｜骨钉雨</x:v>
      </x:c>
      <x:c r="C80" s="20" t="str">
        <x:v>投出轮数</x:v>
      </x:c>
      <x:c r="D80" s="20" t="str">
        <x:v>轮</x:v>
      </x:c>
      <x:c r="E80" s="56" t="n">
        <x:v>3</x:v>
      </x:c>
      <x:c r="F80" s="56" t="n">
        <x:v>3</x:v>
      </x:c>
      <x:c r="G80" s="56" t="n">
        <x:v>3</x:v>
      </x:c>
      <x:c r="H80" s="56" t="n">
        <x:v>3</x:v>
      </x:c>
      <x:c r="I80" s="34"/>
      <x:c r="J80" s="34"/>
      <x:c r="K80" s="11" t="str">
        <x:v>固定参数；不随技能等级变化</x:v>
      </x:c>
    </x:row>
    <x:row r="81" ht="24" customHeight="1">
      <x:c r="A81" s="20" t="str">
        <x:v>[R2-10]</x:v>
      </x:c>
      <x:c r="B81" s="20" t="str">
        <x:v>R2｜骨钉雨</x:v>
      </x:c>
      <x:c r="C81" s="20" t="str">
        <x:v>续投窗口</x:v>
      </x:c>
      <x:c r="D81" s="20" t="str">
        <x:v>秒</x:v>
      </x:c>
      <x:c r="E81" s="56" t="n">
        <x:v>3</x:v>
      </x:c>
      <x:c r="F81" s="56" t="n">
        <x:v>3</x:v>
      </x:c>
      <x:c r="G81" s="56" t="n">
        <x:v>3</x:v>
      </x:c>
      <x:c r="H81" s="56" t="n">
        <x:v>3</x:v>
      </x:c>
      <x:c r="I81" s="34"/>
      <x:c r="J81" s="34"/>
      <x:c r="K81" s="11" t="str">
        <x:v>固定参数；不随技能等级变化</x:v>
      </x:c>
    </x:row>
    <x:row r="82" ht="24" customHeight="1">
      <x:c r="A82" s="20" t="str">
        <x:v>[R2-11]</x:v>
      </x:c>
      <x:c r="B82" s="20" t="str">
        <x:v>R2｜骨钉雨</x:v>
      </x:c>
      <x:c r="C82" s="20" t="str">
        <x:v>每轮基础骨钉数</x:v>
      </x:c>
      <x:c r="D82" s="20" t="str">
        <x:v>点</x:v>
      </x:c>
      <x:c r="E82" s="56" t="n">
        <x:v>1</x:v>
      </x:c>
      <x:c r="F82" s="56" t="n">
        <x:v>1</x:v>
      </x:c>
      <x:c r="G82" s="56" t="n">
        <x:v>1</x:v>
      </x:c>
      <x:c r="H82" s="56" t="n">
        <x:v>1</x:v>
      </x:c>
      <x:c r="I82" s="34"/>
      <x:c r="J82" s="34"/>
      <x:c r="K82" s="11" t="str">
        <x:v>固定参数；不随技能等级变化</x:v>
      </x:c>
    </x:row>
    <x:row r="83" ht="24" customHeight="1">
      <x:c r="A83" s="20" t="str">
        <x:v>[R2-12]</x:v>
      </x:c>
      <x:c r="B83" s="20" t="str">
        <x:v>R2｜骨钉雨</x:v>
      </x:c>
      <x:c r="C83" s="20" t="str">
        <x:v>单轮投掷动作</x:v>
      </x:c>
      <x:c r="D83" s="20" t="str">
        <x:v>秒</x:v>
      </x:c>
      <x:c r="E83" s="58" t="n">
        <x:v>0.2</x:v>
      </x:c>
      <x:c r="F83" s="58" t="n">
        <x:v>0.2</x:v>
      </x:c>
      <x:c r="G83" s="58" t="n">
        <x:v>0.2</x:v>
      </x:c>
      <x:c r="H83" s="58" t="n">
        <x:v>0.2</x:v>
      </x:c>
      <x:c r="I83" s="34"/>
      <x:c r="J83" s="34"/>
      <x:c r="K83" s="11" t="str">
        <x:v>固定参数；不随技能等级变化</x:v>
      </x:c>
    </x:row>
    <x:row r="84" ht="24" customHeight="1">
      <x:c r="A84" s="20" t="str">
        <x:v>[R2-13]</x:v>
      </x:c>
      <x:c r="B84" s="20" t="str">
        <x:v>R2｜骨钉雨</x:v>
      </x:c>
      <x:c r="C84" s="20" t="str">
        <x:v>基础冷却</x:v>
      </x:c>
      <x:c r="D84" s="20" t="str">
        <x:v>秒</x:v>
      </x:c>
      <x:c r="E84" s="56" t="n">
        <x:v>130</x:v>
      </x:c>
      <x:c r="F84" s="56" t="n">
        <x:v>124</x:v>
      </x:c>
      <x:c r="G84" s="60" t="n">
        <x:v>112</x:v>
      </x:c>
      <x:c r="H84" s="60" t="n">
        <x:v>96</x:v>
      </x:c>
      <x:c r="I84" s="34"/>
      <x:c r="J84" s="34"/>
      <x:c r="K84" s="11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ab711e9a430849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27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37" hidden="0" customWidth="1"/>
  </x:cols>
  <x:sheetData>
    <x:row r="1" ht="36" customHeight="1">
      <x:c r="A1" s="7" t="str">
        <x:v>晏归舟｜技能数值 v0.3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30" customHeight="1">
      <x:c r="A2" s="11" t="str">
        <x:v>Q/E：6档；被动/R：4档。蓝字可编辑；浅黄列为后段成长。百分比栏填100表示100%。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 ht="24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8" customHeight="1">
      <x:c r="A4" s="16" t="str">
        <x:v>占位编号</x:v>
      </x:c>
      <x:c r="B4" s="16" t="str">
        <x:v>技能</x:v>
      </x:c>
      <x:c r="C4" s="16" t="str">
        <x:v>数值项</x:v>
      </x:c>
      <x:c r="D4" s="16" t="str">
        <x:v>单位</x:v>
      </x:c>
      <x:c r="E4" s="16" t="str">
        <x:v>Lv1</x:v>
      </x:c>
      <x:c r="F4" s="16" t="str">
        <x:v>Lv2</x:v>
      </x:c>
      <x:c r="G4" s="16" t="str">
        <x:v>Lv3</x:v>
      </x:c>
      <x:c r="H4" s="16" t="str">
        <x:v>Lv4</x:v>
      </x:c>
      <x:c r="I4" s="16" t="str">
        <x:v>Lv5</x:v>
      </x:c>
      <x:c r="J4" s="16" t="str">
        <x:v>Lv6</x:v>
      </x:c>
      <x:c r="K4" s="16" t="str">
        <x:v>备注</x:v>
      </x:c>
    </x:row>
    <x:row r="5" ht="24" customHeight="1">
      <x:c r="A5" s="30" t="str">
        <x:v>[Q1-1]</x:v>
      </x:c>
      <x:c r="B5" s="30" t="str">
        <x:v>Q1｜飞流三千</x:v>
      </x:c>
      <x:c r="C5" s="30" t="str">
        <x:v>固定伤害</x:v>
      </x:c>
      <x:c r="D5" s="30" t="str">
        <x:v>点</x:v>
      </x:c>
      <x:c r="E5" s="56" t="n">
        <x:v>65</x:v>
      </x:c>
      <x:c r="F5" s="56" t="n">
        <x:v>89</x:v>
      </x:c>
      <x:c r="G5" s="56" t="n">
        <x:v>124</x:v>
      </x:c>
      <x:c r="H5" s="60" t="n">
        <x:v>183</x:v>
      </x:c>
      <x:c r="I5" s="60" t="n">
        <x:v>263</x:v>
      </x:c>
      <x:c r="J5" s="60" t="n">
        <x:v>360</x:v>
      </x:c>
      <x:c r="K5" s="11" t="str"/>
    </x:row>
    <x:row r="6" ht="24" customHeight="1">
      <x:c r="A6" s="20" t="str">
        <x:v>[Q1-2]</x:v>
      </x:c>
      <x:c r="B6" s="20" t="str">
        <x:v>Q1｜飞流三千</x:v>
      </x:c>
      <x:c r="C6" s="20" t="str">
        <x:v>AP系数</x:v>
      </x:c>
      <x:c r="D6" s="20" t="str">
        <x:v>%AP</x:v>
      </x:c>
      <x:c r="E6" s="56" t="n">
        <x:v>85</x:v>
      </x:c>
      <x:c r="F6" s="56" t="n">
        <x:v>89</x:v>
      </x:c>
      <x:c r="G6" s="56" t="n">
        <x:v>95</x:v>
      </x:c>
      <x:c r="H6" s="60" t="n">
        <x:v>105</x:v>
      </x:c>
      <x:c r="I6" s="60" t="n">
        <x:v>118</x:v>
      </x:c>
      <x:c r="J6" s="60" t="n">
        <x:v>135</x:v>
      </x:c>
      <x:c r="K6" s="11" t="str"/>
    </x:row>
    <x:row r="7" ht="24" customHeight="1">
      <x:c r="A7" s="20" t="str">
        <x:v>[Q1-3]</x:v>
      </x:c>
      <x:c r="B7" s="20" t="str">
        <x:v>Q1｜飞流三千</x:v>
      </x:c>
      <x:c r="C7" s="20" t="str">
        <x:v>推动距离</x:v>
      </x:c>
      <x:c r="D7" s="20" t="str">
        <x:v>米</x:v>
      </x:c>
      <x:c r="E7" s="58" t="n">
        <x:v>1.5</x:v>
      </x:c>
      <x:c r="F7" s="58" t="n">
        <x:v>1.59</x:v>
      </x:c>
      <x:c r="G7" s="58" t="n">
        <x:v>1.72</x:v>
      </x:c>
      <x:c r="H7" s="62" t="n">
        <x:v>1.94</x:v>
      </x:c>
      <x:c r="I7" s="62" t="n">
        <x:v>2.24</x:v>
      </x:c>
      <x:c r="J7" s="62" t="n">
        <x:v>2.6</x:v>
      </x:c>
      <x:c r="K7" s="11" t="str"/>
    </x:row>
    <x:row r="8" ht="24" customHeight="1">
      <x:c r="A8" s="20" t="str">
        <x:v>[Q1-4]</x:v>
      </x:c>
      <x:c r="B8" s="20" t="str">
        <x:v>Q1｜飞流三千</x:v>
      </x:c>
      <x:c r="C8" s="20" t="str">
        <x:v>最大绘线长度</x:v>
      </x:c>
      <x:c r="D8" s="20" t="str">
        <x:v>米</x:v>
      </x:c>
      <x:c r="E8" s="58" t="n">
        <x:v>11</x:v>
      </x:c>
      <x:c r="F8" s="58" t="n">
        <x:v>11.32</x:v>
      </x:c>
      <x:c r="G8" s="58" t="n">
        <x:v>11.8</x:v>
      </x:c>
      <x:c r="H8" s="62" t="n">
        <x:v>12.6</x:v>
      </x:c>
      <x:c r="I8" s="62" t="n">
        <x:v>13.68</x:v>
      </x:c>
      <x:c r="J8" s="62" t="n">
        <x:v>15</x:v>
      </x:c>
      <x:c r="K8" s="11" t="str"/>
    </x:row>
    <x:row r="9" ht="24" customHeight="1">
      <x:c r="A9" s="20" t="str">
        <x:v>[Q1-5]</x:v>
      </x:c>
      <x:c r="B9" s="20" t="str">
        <x:v>Q1｜飞流三千</x:v>
      </x:c>
      <x:c r="C9" s="20" t="str">
        <x:v>墨线宽度</x:v>
      </x:c>
      <x:c r="D9" s="20" t="str">
        <x:v>米</x:v>
      </x:c>
      <x:c r="E9" s="58" t="n">
        <x:v>1.6</x:v>
      </x:c>
      <x:c r="F9" s="58" t="n">
        <x:v>1.6</x:v>
      </x:c>
      <x:c r="G9" s="58" t="n">
        <x:v>1.6</x:v>
      </x:c>
      <x:c r="H9" s="58" t="n">
        <x:v>1.6</x:v>
      </x:c>
      <x:c r="I9" s="58" t="n">
        <x:v>1.6</x:v>
      </x:c>
      <x:c r="J9" s="58" t="n">
        <x:v>1.6</x:v>
      </x:c>
      <x:c r="K9" s="11" t="str">
        <x:v>固定参数；不随技能等级变化</x:v>
      </x:c>
    </x:row>
    <x:row r="10" ht="24" customHeight="1">
      <x:c r="A10" s="20" t="str">
        <x:v>[Q1-6]</x:v>
      </x:c>
      <x:c r="B10" s="20" t="str">
        <x:v>Q1｜飞流三千</x:v>
      </x:c>
      <x:c r="C10" s="20" t="str">
        <x:v>最长绘线操作</x:v>
      </x:c>
      <x:c r="D10" s="20" t="str">
        <x:v>秒</x:v>
      </x:c>
      <x:c r="E10" s="58" t="n">
        <x:v>0.75</x:v>
      </x:c>
      <x:c r="F10" s="58" t="n">
        <x:v>0.75</x:v>
      </x:c>
      <x:c r="G10" s="58" t="n">
        <x:v>0.75</x:v>
      </x:c>
      <x:c r="H10" s="58" t="n">
        <x:v>0.75</x:v>
      </x:c>
      <x:c r="I10" s="58" t="n">
        <x:v>0.75</x:v>
      </x:c>
      <x:c r="J10" s="58" t="n">
        <x:v>0.75</x:v>
      </x:c>
      <x:c r="K10" s="11" t="str">
        <x:v>固定参数；不随技能等级变化</x:v>
      </x:c>
    </x:row>
    <x:row r="11" ht="24" customHeight="1">
      <x:c r="A11" s="20" t="str">
        <x:v>[Q1-7]</x:v>
      </x:c>
      <x:c r="B11" s="20" t="str">
        <x:v>Q1｜飞流三千</x:v>
      </x:c>
      <x:c r="C11" s="20" t="str">
        <x:v>水势速度</x:v>
      </x:c>
      <x:c r="D11" s="20" t="str">
        <x:v>米/秒</x:v>
      </x:c>
      <x:c r="E11" s="56" t="n">
        <x:v>24</x:v>
      </x:c>
      <x:c r="F11" s="56" t="n">
        <x:v>24</x:v>
      </x:c>
      <x:c r="G11" s="56" t="n">
        <x:v>24</x:v>
      </x:c>
      <x:c r="H11" s="56" t="n">
        <x:v>24</x:v>
      </x:c>
      <x:c r="I11" s="56" t="n">
        <x:v>24</x:v>
      </x:c>
      <x:c r="J11" s="56" t="n">
        <x:v>24</x:v>
      </x:c>
      <x:c r="K11" s="11" t="str">
        <x:v>固定参数；不随技能等级变化</x:v>
      </x:c>
    </x:row>
    <x:row r="12" ht="24" customHeight="1">
      <x:c r="A12" s="20" t="str">
        <x:v>[Q1-8]</x:v>
      </x:c>
      <x:c r="B12" s="20" t="str">
        <x:v>Q1｜飞流三千</x:v>
      </x:c>
      <x:c r="C12" s="20" t="str">
        <x:v>基础冷却</x:v>
      </x:c>
      <x:c r="D12" s="20" t="str">
        <x:v>秒</x:v>
      </x:c>
      <x:c r="E12" s="58" t="n">
        <x:v>7</x:v>
      </x:c>
      <x:c r="F12" s="58" t="n">
        <x:v>6.87</x:v>
      </x:c>
      <x:c r="G12" s="58" t="n">
        <x:v>6.68</x:v>
      </x:c>
      <x:c r="H12" s="62" t="n">
        <x:v>6.36</x:v>
      </x:c>
      <x:c r="I12" s="62" t="n">
        <x:v>5.93</x:v>
      </x:c>
      <x:c r="J12" s="62" t="n">
        <x:v>5.4</x:v>
      </x:c>
      <x:c r="K12" s="11" t="str"/>
    </x:row>
    <x:row r="13" ht="24" customHeight="1">
      <x:c r="A13" s="30" t="str">
        <x:v>[Q2-1]</x:v>
      </x:c>
      <x:c r="B13" s="30" t="str">
        <x:v>Q2｜大漠孤烟·长河落日</x:v>
      </x:c>
      <x:c r="C13" s="30" t="str">
        <x:v>首次落点距离</x:v>
      </x:c>
      <x:c r="D13" s="30" t="str">
        <x:v>米</x:v>
      </x:c>
      <x:c r="E13" s="56" t="n">
        <x:v>10</x:v>
      </x:c>
      <x:c r="F13" s="56" t="n">
        <x:v>10</x:v>
      </x:c>
      <x:c r="G13" s="56" t="n">
        <x:v>10</x:v>
      </x:c>
      <x:c r="H13" s="56" t="n">
        <x:v>10</x:v>
      </x:c>
      <x:c r="I13" s="56" t="n">
        <x:v>10</x:v>
      </x:c>
      <x:c r="J13" s="56" t="n">
        <x:v>10</x:v>
      </x:c>
      <x:c r="K13" s="11" t="str">
        <x:v>固定参数；不随技能等级变化</x:v>
      </x:c>
    </x:row>
    <x:row r="14" ht="24" customHeight="1">
      <x:c r="A14" s="20" t="str">
        <x:v>[Q2-2]</x:v>
      </x:c>
      <x:c r="B14" s="20" t="str">
        <x:v>Q2｜大漠孤烟·长河落日</x:v>
      </x:c>
      <x:c r="C14" s="20" t="str">
        <x:v>二次施法窗口</x:v>
      </x:c>
      <x:c r="D14" s="20" t="str">
        <x:v>秒</x:v>
      </x:c>
      <x:c r="E14" s="56" t="n">
        <x:v>5</x:v>
      </x:c>
      <x:c r="F14" s="56" t="n">
        <x:v>5</x:v>
      </x:c>
      <x:c r="G14" s="56" t="n">
        <x:v>5</x:v>
      </x:c>
      <x:c r="H14" s="56" t="n">
        <x:v>5</x:v>
      </x:c>
      <x:c r="I14" s="56" t="n">
        <x:v>5</x:v>
      </x:c>
      <x:c r="J14" s="56" t="n">
        <x:v>5</x:v>
      </x:c>
      <x:c r="K14" s="11" t="str">
        <x:v>固定参数；不随技能等级变化</x:v>
      </x:c>
    </x:row>
    <x:row r="15" ht="24" customHeight="1">
      <x:c r="A15" s="20" t="str">
        <x:v>[Q2-3]</x:v>
      </x:c>
      <x:c r="B15" s="20" t="str">
        <x:v>Q2｜大漠孤烟·长河落日</x:v>
      </x:c>
      <x:c r="C15" s="20" t="str">
        <x:v>长河最大长度</x:v>
      </x:c>
      <x:c r="D15" s="20" t="str">
        <x:v>米</x:v>
      </x:c>
      <x:c r="E15" s="58" t="n">
        <x:v>12</x:v>
      </x:c>
      <x:c r="F15" s="58" t="n">
        <x:v>12.32</x:v>
      </x:c>
      <x:c r="G15" s="58" t="n">
        <x:v>12.8</x:v>
      </x:c>
      <x:c r="H15" s="62" t="n">
        <x:v>13.6</x:v>
      </x:c>
      <x:c r="I15" s="62" t="n">
        <x:v>14.68</x:v>
      </x:c>
      <x:c r="J15" s="62" t="n">
        <x:v>16</x:v>
      </x:c>
      <x:c r="K15" s="11" t="str"/>
    </x:row>
    <x:row r="16" ht="24" customHeight="1">
      <x:c r="A16" s="20" t="str">
        <x:v>[Q2-4]</x:v>
      </x:c>
      <x:c r="B16" s="20" t="str">
        <x:v>Q2｜大漠孤烟·长河落日</x:v>
      </x:c>
      <x:c r="C16" s="20" t="str">
        <x:v>长河宽度</x:v>
      </x:c>
      <x:c r="D16" s="20" t="str">
        <x:v>米</x:v>
      </x:c>
      <x:c r="E16" s="58" t="n">
        <x:v>1.5</x:v>
      </x:c>
      <x:c r="F16" s="58" t="n">
        <x:v>1.5</x:v>
      </x:c>
      <x:c r="G16" s="58" t="n">
        <x:v>1.5</x:v>
      </x:c>
      <x:c r="H16" s="58" t="n">
        <x:v>1.5</x:v>
      </x:c>
      <x:c r="I16" s="58" t="n">
        <x:v>1.5</x:v>
      </x:c>
      <x:c r="J16" s="58" t="n">
        <x:v>1.5</x:v>
      </x:c>
      <x:c r="K16" s="11" t="str">
        <x:v>固定参数；不随技能等级变化</x:v>
      </x:c>
    </x:row>
    <x:row r="17" ht="24" customHeight="1">
      <x:c r="A17" s="20" t="str">
        <x:v>[Q2-5]</x:v>
      </x:c>
      <x:c r="B17" s="20" t="str">
        <x:v>Q2｜大漠孤烟·长河落日</x:v>
      </x:c>
      <x:c r="C17" s="20" t="str">
        <x:v>长河持续</x:v>
      </x:c>
      <x:c r="D17" s="20" t="str">
        <x:v>秒</x:v>
      </x:c>
      <x:c r="E17" s="58" t="n">
        <x:v>4</x:v>
      </x:c>
      <x:c r="F17" s="58" t="n">
        <x:v>4.16</x:v>
      </x:c>
      <x:c r="G17" s="58" t="n">
        <x:v>4.4</x:v>
      </x:c>
      <x:c r="H17" s="62" t="n">
        <x:v>4.8</x:v>
      </x:c>
      <x:c r="I17" s="62" t="n">
        <x:v>5.34</x:v>
      </x:c>
      <x:c r="J17" s="62" t="n">
        <x:v>6</x:v>
      </x:c>
      <x:c r="K17" s="11" t="str"/>
    </x:row>
    <x:row r="18" ht="24" customHeight="1">
      <x:c r="A18" s="20" t="str">
        <x:v>[Q2-6]</x:v>
      </x:c>
      <x:c r="B18" s="20" t="str">
        <x:v>Q2｜大漠孤烟·长河落日</x:v>
      </x:c>
      <x:c r="C18" s="20" t="str">
        <x:v>跨河固定伤害</x:v>
      </x:c>
      <x:c r="D18" s="20" t="str">
        <x:v>点</x:v>
      </x:c>
      <x:c r="E18" s="56" t="n">
        <x:v>65</x:v>
      </x:c>
      <x:c r="F18" s="56" t="n">
        <x:v>90</x:v>
      </x:c>
      <x:c r="G18" s="56" t="n">
        <x:v>128</x:v>
      </x:c>
      <x:c r="H18" s="60" t="n">
        <x:v>191</x:v>
      </x:c>
      <x:c r="I18" s="60" t="n">
        <x:v>276</x:v>
      </x:c>
      <x:c r="J18" s="60" t="n">
        <x:v>380</x:v>
      </x:c>
      <x:c r="K18" s="11" t="str"/>
    </x:row>
    <x:row r="19" ht="24" customHeight="1">
      <x:c r="A19" s="20" t="str">
        <x:v>[Q2-7]</x:v>
      </x:c>
      <x:c r="B19" s="20" t="str">
        <x:v>Q2｜大漠孤烟·长河落日</x:v>
      </x:c>
      <x:c r="C19" s="20" t="str">
        <x:v>跨河AP系数</x:v>
      </x:c>
      <x:c r="D19" s="20" t="str">
        <x:v>%AP</x:v>
      </x:c>
      <x:c r="E19" s="56" t="n">
        <x:v>85</x:v>
      </x:c>
      <x:c r="F19" s="56" t="n">
        <x:v>90</x:v>
      </x:c>
      <x:c r="G19" s="56" t="n">
        <x:v>98</x:v>
      </x:c>
      <x:c r="H19" s="60" t="n">
        <x:v>111</x:v>
      </x:c>
      <x:c r="I19" s="60" t="n">
        <x:v>129</x:v>
      </x:c>
      <x:c r="J19" s="60" t="n">
        <x:v>150</x:v>
      </x:c>
      <x:c r="K19" s="11" t="str"/>
    </x:row>
    <x:row r="20" ht="24" customHeight="1">
      <x:c r="A20" s="20" t="str">
        <x:v>[Q2-8]</x:v>
      </x:c>
      <x:c r="B20" s="20" t="str">
        <x:v>Q2｜大漠孤烟·长河落日</x:v>
      </x:c>
      <x:c r="C20" s="20" t="str">
        <x:v>友方弹道射程加成</x:v>
      </x:c>
      <x:c r="D20" s="20" t="str">
        <x:v>%</x:v>
      </x:c>
      <x:c r="E20" s="56" t="n">
        <x:v>10</x:v>
      </x:c>
      <x:c r="F20" s="56" t="n">
        <x:v>11</x:v>
      </x:c>
      <x:c r="G20" s="56" t="n">
        <x:v>13</x:v>
      </x:c>
      <x:c r="H20" s="60" t="n">
        <x:v>16</x:v>
      </x:c>
      <x:c r="I20" s="60" t="n">
        <x:v>20</x:v>
      </x:c>
      <x:c r="J20" s="60" t="n">
        <x:v>25</x:v>
      </x:c>
      <x:c r="K20" s="11" t="str"/>
    </x:row>
    <x:row r="21" ht="24" customHeight="1">
      <x:c r="A21" s="20" t="str">
        <x:v>[Q2-9]</x:v>
      </x:c>
      <x:c r="B21" s="20" t="str">
        <x:v>Q2｜大漠孤烟·长河落日</x:v>
      </x:c>
      <x:c r="C21" s="20" t="str">
        <x:v>友方弹速加成</x:v>
      </x:c>
      <x:c r="D21" s="20" t="str">
        <x:v>%</x:v>
      </x:c>
      <x:c r="E21" s="56" t="n">
        <x:v>10</x:v>
      </x:c>
      <x:c r="F21" s="56" t="n">
        <x:v>11</x:v>
      </x:c>
      <x:c r="G21" s="56" t="n">
        <x:v>13</x:v>
      </x:c>
      <x:c r="H21" s="60" t="n">
        <x:v>16</x:v>
      </x:c>
      <x:c r="I21" s="60" t="n">
        <x:v>20</x:v>
      </x:c>
      <x:c r="J21" s="60" t="n">
        <x:v>25</x:v>
      </x:c>
      <x:c r="K21" s="11" t="str"/>
    </x:row>
    <x:row r="22" ht="24" customHeight="1">
      <x:c r="A22" s="20" t="str">
        <x:v>[Q2-10]</x:v>
      </x:c>
      <x:c r="B22" s="20" t="str">
        <x:v>Q2｜大漠孤烟·长河落日</x:v>
      </x:c>
      <x:c r="C22" s="20" t="str">
        <x:v>基础冷却</x:v>
      </x:c>
      <x:c r="D22" s="20" t="str">
        <x:v>秒</x:v>
      </x:c>
      <x:c r="E22" s="58" t="n">
        <x:v>10.5</x:v>
      </x:c>
      <x:c r="F22" s="58" t="n">
        <x:v>10.3</x:v>
      </x:c>
      <x:c r="G22" s="58" t="n">
        <x:v>10</x:v>
      </x:c>
      <x:c r="H22" s="62" t="n">
        <x:v>9.5</x:v>
      </x:c>
      <x:c r="I22" s="62" t="n">
        <x:v>8.82</x:v>
      </x:c>
      <x:c r="J22" s="62" t="n">
        <x:v>8</x:v>
      </x:c>
      <x:c r="K22" s="11" t="str"/>
    </x:row>
    <x:row r="23" ht="24" customHeight="1">
      <x:c r="A23" s="30" t="str">
        <x:v>[Q3-1]</x:v>
      </x:c>
      <x:c r="B23" s="30" t="str">
        <x:v>Q3｜溪山行旅</x:v>
      </x:c>
      <x:c r="C23" s="30" t="str">
        <x:v>立山距离</x:v>
      </x:c>
      <x:c r="D23" s="30" t="str">
        <x:v>米</x:v>
      </x:c>
      <x:c r="E23" s="56" t="n">
        <x:v>9</x:v>
      </x:c>
      <x:c r="F23" s="56" t="n">
        <x:v>9</x:v>
      </x:c>
      <x:c r="G23" s="56" t="n">
        <x:v>9</x:v>
      </x:c>
      <x:c r="H23" s="56" t="n">
        <x:v>9</x:v>
      </x:c>
      <x:c r="I23" s="56" t="n">
        <x:v>9</x:v>
      </x:c>
      <x:c r="J23" s="56" t="n">
        <x:v>9</x:v>
      </x:c>
      <x:c r="K23" s="11" t="str">
        <x:v>固定参数；不随技能等级变化</x:v>
      </x:c>
    </x:row>
    <x:row r="24" ht="24" customHeight="1">
      <x:c r="A24" s="20" t="str">
        <x:v>[Q3-2]</x:v>
      </x:c>
      <x:c r="B24" s="20" t="str">
        <x:v>Q3｜溪山行旅</x:v>
      </x:c>
      <x:c r="C24" s="20" t="str">
        <x:v>立山固定伤害</x:v>
      </x:c>
      <x:c r="D24" s="20" t="str">
        <x:v>点</x:v>
      </x:c>
      <x:c r="E24" s="56" t="n">
        <x:v>25</x:v>
      </x:c>
      <x:c r="F24" s="56" t="n">
        <x:v>32</x:v>
      </x:c>
      <x:c r="G24" s="56" t="n">
        <x:v>42</x:v>
      </x:c>
      <x:c r="H24" s="60" t="n">
        <x:v>59</x:v>
      </x:c>
      <x:c r="I24" s="60" t="n">
        <x:v>82</x:v>
      </x:c>
      <x:c r="J24" s="60" t="n">
        <x:v>110</x:v>
      </x:c>
      <x:c r="K24" s="11" t="str"/>
    </x:row>
    <x:row r="25" ht="24" customHeight="1">
      <x:c r="A25" s="20" t="str">
        <x:v>[Q3-3]</x:v>
      </x:c>
      <x:c r="B25" s="20" t="str">
        <x:v>Q3｜溪山行旅</x:v>
      </x:c>
      <x:c r="C25" s="20" t="str">
        <x:v>立山AP系数</x:v>
      </x:c>
      <x:c r="D25" s="20" t="str">
        <x:v>%AP</x:v>
      </x:c>
      <x:c r="E25" s="56" t="n">
        <x:v>25</x:v>
      </x:c>
      <x:c r="F25" s="56" t="n">
        <x:v>27</x:v>
      </x:c>
      <x:c r="G25" s="56" t="n">
        <x:v>29</x:v>
      </x:c>
      <x:c r="H25" s="60" t="n">
        <x:v>33</x:v>
      </x:c>
      <x:c r="I25" s="60" t="n">
        <x:v>38</x:v>
      </x:c>
      <x:c r="J25" s="60" t="n">
        <x:v>45</x:v>
      </x:c>
      <x:c r="K25" s="11" t="str"/>
    </x:row>
    <x:row r="26" ht="24" customHeight="1">
      <x:c r="A26" s="20" t="str">
        <x:v>[Q3-4]</x:v>
      </x:c>
      <x:c r="B26" s="20" t="str">
        <x:v>Q3｜溪山行旅</x:v>
      </x:c>
      <x:c r="C26" s="20" t="str">
        <x:v>山体长度</x:v>
      </x:c>
      <x:c r="D26" s="20" t="str">
        <x:v>米</x:v>
      </x:c>
      <x:c r="E26" s="58" t="n">
        <x:v>4.5</x:v>
      </x:c>
      <x:c r="F26" s="58" t="n">
        <x:v>4.58</x:v>
      </x:c>
      <x:c r="G26" s="58" t="n">
        <x:v>4.7</x:v>
      </x:c>
      <x:c r="H26" s="62" t="n">
        <x:v>4.9</x:v>
      </x:c>
      <x:c r="I26" s="62" t="n">
        <x:v>5.17</x:v>
      </x:c>
      <x:c r="J26" s="62" t="n">
        <x:v>5.5</x:v>
      </x:c>
      <x:c r="K26" s="11" t="str"/>
    </x:row>
    <x:row r="27" ht="24" customHeight="1">
      <x:c r="A27" s="20" t="str">
        <x:v>[Q3-5]</x:v>
      </x:c>
      <x:c r="B27" s="20" t="str">
        <x:v>Q3｜溪山行旅</x:v>
      </x:c>
      <x:c r="C27" s="20" t="str">
        <x:v>山体厚度</x:v>
      </x:c>
      <x:c r="D27" s="20" t="str">
        <x:v>米</x:v>
      </x:c>
      <x:c r="E27" s="58" t="n">
        <x:v>1.4</x:v>
      </x:c>
      <x:c r="F27" s="58" t="n">
        <x:v>1.4</x:v>
      </x:c>
      <x:c r="G27" s="58" t="n">
        <x:v>1.4</x:v>
      </x:c>
      <x:c r="H27" s="58" t="n">
        <x:v>1.4</x:v>
      </x:c>
      <x:c r="I27" s="58" t="n">
        <x:v>1.4</x:v>
      </x:c>
      <x:c r="J27" s="58" t="n">
        <x:v>1.4</x:v>
      </x:c>
      <x:c r="K27" s="11" t="str">
        <x:v>固定参数；不随技能等级变化</x:v>
      </x:c>
    </x:row>
    <x:row r="28" ht="24" customHeight="1">
      <x:c r="A28" s="20" t="str">
        <x:v>[Q3-6]</x:v>
      </x:c>
      <x:c r="B28" s="20" t="str">
        <x:v>Q3｜溪山行旅</x:v>
      </x:c>
      <x:c r="C28" s="20" t="str">
        <x:v>山体持续</x:v>
      </x:c>
      <x:c r="D28" s="20" t="str">
        <x:v>秒</x:v>
      </x:c>
      <x:c r="E28" s="58" t="n">
        <x:v>5</x:v>
      </x:c>
      <x:c r="F28" s="58" t="n">
        <x:v>5.12</x:v>
      </x:c>
      <x:c r="G28" s="58" t="n">
        <x:v>5.3</x:v>
      </x:c>
      <x:c r="H28" s="62" t="n">
        <x:v>5.6</x:v>
      </x:c>
      <x:c r="I28" s="62" t="n">
        <x:v>6</x:v>
      </x:c>
      <x:c r="J28" s="62" t="n">
        <x:v>6.5</x:v>
      </x:c>
      <x:c r="K28" s="11" t="str"/>
    </x:row>
    <x:row r="29" ht="24" customHeight="1">
      <x:c r="A29" s="20" t="str">
        <x:v>[Q3-7]</x:v>
      </x:c>
      <x:c r="B29" s="20" t="str">
        <x:v>Q3｜溪山行旅</x:v>
      </x:c>
      <x:c r="C29" s="20" t="str">
        <x:v>崩山路径长度</x:v>
      </x:c>
      <x:c r="D29" s="20" t="str">
        <x:v>米</x:v>
      </x:c>
      <x:c r="E29" s="56" t="n">
        <x:v>8</x:v>
      </x:c>
      <x:c r="F29" s="56" t="n">
        <x:v>8</x:v>
      </x:c>
      <x:c r="G29" s="56" t="n">
        <x:v>8</x:v>
      </x:c>
      <x:c r="H29" s="56" t="n">
        <x:v>8</x:v>
      </x:c>
      <x:c r="I29" s="56" t="n">
        <x:v>8</x:v>
      </x:c>
      <x:c r="J29" s="56" t="n">
        <x:v>8</x:v>
      </x:c>
      <x:c r="K29" s="11" t="str">
        <x:v>固定参数；不随技能等级变化</x:v>
      </x:c>
    </x:row>
    <x:row r="30" ht="24" customHeight="1">
      <x:c r="A30" s="20" t="str">
        <x:v>[Q3-8]</x:v>
      </x:c>
      <x:c r="B30" s="20" t="str">
        <x:v>Q3｜溪山行旅</x:v>
      </x:c>
      <x:c r="C30" s="20" t="str">
        <x:v>崩山路径宽度</x:v>
      </x:c>
      <x:c r="D30" s="20" t="str">
        <x:v>米</x:v>
      </x:c>
      <x:c r="E30" s="58" t="n">
        <x:v>4.5</x:v>
      </x:c>
      <x:c r="F30" s="58" t="n">
        <x:v>4.58</x:v>
      </x:c>
      <x:c r="G30" s="58" t="n">
        <x:v>4.7</x:v>
      </x:c>
      <x:c r="H30" s="62" t="n">
        <x:v>4.9</x:v>
      </x:c>
      <x:c r="I30" s="62" t="n">
        <x:v>5.17</x:v>
      </x:c>
      <x:c r="J30" s="62" t="n">
        <x:v>5.5</x:v>
      </x:c>
      <x:c r="K30" s="11" t="str"/>
    </x:row>
    <x:row r="31" ht="24" customHeight="1">
      <x:c r="A31" s="20" t="str">
        <x:v>[Q3-9]</x:v>
      </x:c>
      <x:c r="B31" s="20" t="str">
        <x:v>Q3｜溪山行旅</x:v>
      </x:c>
      <x:c r="C31" s="20" t="str">
        <x:v>崩山固定伤害</x:v>
      </x:c>
      <x:c r="D31" s="20" t="str">
        <x:v>点</x:v>
      </x:c>
      <x:c r="E31" s="56" t="n">
        <x:v>95</x:v>
      </x:c>
      <x:c r="F31" s="56" t="n">
        <x:v>126</x:v>
      </x:c>
      <x:c r="G31" s="56" t="n">
        <x:v>172</x:v>
      </x:c>
      <x:c r="H31" s="60" t="n">
        <x:v>249</x:v>
      </x:c>
      <x:c r="I31" s="60" t="n">
        <x:v>353</x:v>
      </x:c>
      <x:c r="J31" s="60" t="n">
        <x:v>480</x:v>
      </x:c>
      <x:c r="K31" s="11" t="str"/>
    </x:row>
    <x:row r="32" ht="24" customHeight="1">
      <x:c r="A32" s="20" t="str">
        <x:v>[Q3-10]</x:v>
      </x:c>
      <x:c r="B32" s="20" t="str">
        <x:v>Q3｜溪山行旅</x:v>
      </x:c>
      <x:c r="C32" s="20" t="str">
        <x:v>崩山AP系数</x:v>
      </x:c>
      <x:c r="D32" s="20" t="str">
        <x:v>%AP</x:v>
      </x:c>
      <x:c r="E32" s="56" t="n">
        <x:v>100</x:v>
      </x:c>
      <x:c r="F32" s="56" t="n">
        <x:v>106</x:v>
      </x:c>
      <x:c r="G32" s="56" t="n">
        <x:v>115</x:v>
      </x:c>
      <x:c r="H32" s="60" t="n">
        <x:v>130</x:v>
      </x:c>
      <x:c r="I32" s="60" t="n">
        <x:v>150</x:v>
      </x:c>
      <x:c r="J32" s="60" t="n">
        <x:v>175</x:v>
      </x:c>
      <x:c r="K32" s="11" t="str"/>
    </x:row>
    <x:row r="33" ht="24" customHeight="1">
      <x:c r="A33" s="20" t="str">
        <x:v>[Q3-11]</x:v>
      </x:c>
      <x:c r="B33" s="20" t="str">
        <x:v>Q3｜溪山行旅</x:v>
      </x:c>
      <x:c r="C33" s="20" t="str">
        <x:v>崩山击退距离</x:v>
      </x:c>
      <x:c r="D33" s="20" t="str">
        <x:v>米</x:v>
      </x:c>
      <x:c r="E33" s="58" t="n">
        <x:v>2.5</x:v>
      </x:c>
      <x:c r="F33" s="58" t="n">
        <x:v>2.62</x:v>
      </x:c>
      <x:c r="G33" s="58" t="n">
        <x:v>2.8</x:v>
      </x:c>
      <x:c r="H33" s="62" t="n">
        <x:v>3.1</x:v>
      </x:c>
      <x:c r="I33" s="62" t="n">
        <x:v>3.5</x:v>
      </x:c>
      <x:c r="J33" s="62" t="n">
        <x:v>4</x:v>
      </x:c>
      <x:c r="K33" s="11" t="str"/>
    </x:row>
    <x:row r="34" ht="24" customHeight="1">
      <x:c r="A34" s="20" t="str">
        <x:v>[Q3-12]</x:v>
      </x:c>
      <x:c r="B34" s="20" t="str">
        <x:v>Q3｜溪山行旅</x:v>
      </x:c>
      <x:c r="C34" s="20" t="str">
        <x:v>基础冷却</x:v>
      </x:c>
      <x:c r="D34" s="20" t="str">
        <x:v>秒</x:v>
      </x:c>
      <x:c r="E34" s="58" t="n">
        <x:v>12</x:v>
      </x:c>
      <x:c r="F34" s="58" t="n">
        <x:v>11.8</x:v>
      </x:c>
      <x:c r="G34" s="58" t="n">
        <x:v>11.5</x:v>
      </x:c>
      <x:c r="H34" s="62" t="n">
        <x:v>11</x:v>
      </x:c>
      <x:c r="I34" s="62" t="n">
        <x:v>10.32</x:v>
      </x:c>
      <x:c r="J34" s="62" t="n">
        <x:v>9.5</x:v>
      </x:c>
      <x:c r="K34" s="11" t="str"/>
    </x:row>
    <x:row r="35" ht="24" customHeight="1">
      <x:c r="A35" s="30" t="str">
        <x:v>[E1-1]</x:v>
      </x:c>
      <x:c r="B35" s="30" t="str">
        <x:v>E1｜一蓑烟雨</x:v>
      </x:c>
      <x:c r="C35" s="30" t="str">
        <x:v>烟雨最长持续</x:v>
      </x:c>
      <x:c r="D35" s="30" t="str">
        <x:v>秒</x:v>
      </x:c>
      <x:c r="E35" s="58" t="n">
        <x:v>2.5</x:v>
      </x:c>
      <x:c r="F35" s="58" t="n">
        <x:v>2.54</x:v>
      </x:c>
      <x:c r="G35" s="58" t="n">
        <x:v>2.6</x:v>
      </x:c>
      <x:c r="H35" s="62" t="n">
        <x:v>2.7</x:v>
      </x:c>
      <x:c r="I35" s="62" t="n">
        <x:v>2.83</x:v>
      </x:c>
      <x:c r="J35" s="62" t="n">
        <x:v>3</x:v>
      </x:c>
      <x:c r="K35" s="11" t="str"/>
    </x:row>
    <x:row r="36" ht="24" customHeight="1">
      <x:c r="A36" s="20" t="str">
        <x:v>[E1-2]</x:v>
      </x:c>
      <x:c r="B36" s="20" t="str">
        <x:v>E1｜一蓑烟雨</x:v>
      </x:c>
      <x:c r="C36" s="20" t="str">
        <x:v>最终减伤</x:v>
      </x:c>
      <x:c r="D36" s="20" t="str">
        <x:v>%</x:v>
      </x:c>
      <x:c r="E36" s="56" t="n">
        <x:v>70</x:v>
      </x:c>
      <x:c r="F36" s="56" t="n">
        <x:v>71</x:v>
      </x:c>
      <x:c r="G36" s="56" t="n">
        <x:v>72</x:v>
      </x:c>
      <x:c r="H36" s="60" t="n">
        <x:v>74</x:v>
      </x:c>
      <x:c r="I36" s="60" t="n">
        <x:v>77</x:v>
      </x:c>
      <x:c r="J36" s="60" t="n">
        <x:v>80</x:v>
      </x:c>
      <x:c r="K36" s="11" t="str"/>
    </x:row>
    <x:row r="37" ht="24" customHeight="1">
      <x:c r="A37" s="20" t="str">
        <x:v>[E1-3]</x:v>
      </x:c>
      <x:c r="B37" s="20" t="str">
        <x:v>E1｜一蓑烟雨</x:v>
      </x:c>
      <x:c r="C37" s="20" t="str">
        <x:v>移动速度加成</x:v>
      </x:c>
      <x:c r="D37" s="20" t="str">
        <x:v>%</x:v>
      </x:c>
      <x:c r="E37" s="56" t="n">
        <x:v>35</x:v>
      </x:c>
      <x:c r="F37" s="56" t="n">
        <x:v>37</x:v>
      </x:c>
      <x:c r="G37" s="56" t="n">
        <x:v>39</x:v>
      </x:c>
      <x:c r="H37" s="60" t="n">
        <x:v>43</x:v>
      </x:c>
      <x:c r="I37" s="60" t="n">
        <x:v>48</x:v>
      </x:c>
      <x:c r="J37" s="60" t="n">
        <x:v>55</x:v>
      </x:c>
      <x:c r="K37" s="11" t="str"/>
    </x:row>
    <x:row r="38" ht="24" customHeight="1">
      <x:c r="A38" s="20" t="str">
        <x:v>[E1-4]</x:v>
      </x:c>
      <x:c r="B38" s="20" t="str">
        <x:v>E1｜一蓑烟雨</x:v>
      </x:c>
      <x:c r="C38" s="20" t="str">
        <x:v>每敌雨痕上限</x:v>
      </x:c>
      <x:c r="D38" s="20" t="str">
        <x:v>层</x:v>
      </x:c>
      <x:c r="E38" s="56" t="n">
        <x:v>1</x:v>
      </x:c>
      <x:c r="F38" s="56" t="n">
        <x:v>1</x:v>
      </x:c>
      <x:c r="G38" s="56" t="n">
        <x:v>1</x:v>
      </x:c>
      <x:c r="H38" s="56" t="n">
        <x:v>1</x:v>
      </x:c>
      <x:c r="I38" s="56" t="n">
        <x:v>1</x:v>
      </x:c>
      <x:c r="J38" s="56" t="n">
        <x:v>1</x:v>
      </x:c>
      <x:c r="K38" s="11" t="str">
        <x:v>固定参数；不随技能等级变化</x:v>
      </x:c>
    </x:row>
    <x:row r="39" ht="24" customHeight="1">
      <x:c r="A39" s="20" t="str">
        <x:v>[E1-5]</x:v>
      </x:c>
      <x:c r="B39" s="20" t="str">
        <x:v>E1｜一蓑烟雨</x:v>
      </x:c>
      <x:c r="C39" s="20" t="str">
        <x:v>聚形爆炸半径</x:v>
      </x:c>
      <x:c r="D39" s="20" t="str">
        <x:v>米</x:v>
      </x:c>
      <x:c r="E39" s="58" t="n">
        <x:v>2.5</x:v>
      </x:c>
      <x:c r="F39" s="58" t="n">
        <x:v>2.57</x:v>
      </x:c>
      <x:c r="G39" s="58" t="n">
        <x:v>2.68</x:v>
      </x:c>
      <x:c r="H39" s="62" t="n">
        <x:v>2.86</x:v>
      </x:c>
      <x:c r="I39" s="62" t="n">
        <x:v>3.1</x:v>
      </x:c>
      <x:c r="J39" s="62" t="n">
        <x:v>3.4</x:v>
      </x:c>
      <x:c r="K39" s="11" t="str"/>
    </x:row>
    <x:row r="40" ht="24" customHeight="1">
      <x:c r="A40" s="20" t="str">
        <x:v>[E1-6]</x:v>
      </x:c>
      <x:c r="B40" s="20" t="str">
        <x:v>E1｜一蓑烟雨</x:v>
      </x:c>
      <x:c r="C40" s="20" t="str">
        <x:v>聚形固定伤害</x:v>
      </x:c>
      <x:c r="D40" s="20" t="str">
        <x:v>点</x:v>
      </x:c>
      <x:c r="E40" s="56" t="n">
        <x:v>40</x:v>
      </x:c>
      <x:c r="F40" s="56" t="n">
        <x:v>53</x:v>
      </x:c>
      <x:c r="G40" s="56" t="n">
        <x:v>72</x:v>
      </x:c>
      <x:c r="H40" s="60" t="n">
        <x:v>104</x:v>
      </x:c>
      <x:c r="I40" s="60" t="n">
        <x:v>147</x:v>
      </x:c>
      <x:c r="J40" s="60" t="n">
        <x:v>200</x:v>
      </x:c>
      <x:c r="K40" s="11" t="str"/>
    </x:row>
    <x:row r="41" ht="24" customHeight="1">
      <x:c r="A41" s="20" t="str">
        <x:v>[E1-7]</x:v>
      </x:c>
      <x:c r="B41" s="20" t="str">
        <x:v>E1｜一蓑烟雨</x:v>
      </x:c>
      <x:c r="C41" s="20" t="str">
        <x:v>聚形AP系数</x:v>
      </x:c>
      <x:c r="D41" s="20" t="str">
        <x:v>%AP</x:v>
      </x:c>
      <x:c r="E41" s="56" t="n">
        <x:v>55</x:v>
      </x:c>
      <x:c r="F41" s="56" t="n">
        <x:v>58</x:v>
      </x:c>
      <x:c r="G41" s="56" t="n">
        <x:v>63</x:v>
      </x:c>
      <x:c r="H41" s="60" t="n">
        <x:v>71</x:v>
      </x:c>
      <x:c r="I41" s="60" t="n">
        <x:v>82</x:v>
      </x:c>
      <x:c r="J41" s="60" t="n">
        <x:v>95</x:v>
      </x:c>
      <x:c r="K41" s="11" t="str"/>
    </x:row>
    <x:row r="42" ht="24" customHeight="1">
      <x:c r="A42" s="20" t="str">
        <x:v>[E1-8]</x:v>
      </x:c>
      <x:c r="B42" s="20" t="str">
        <x:v>E1｜一蓑烟雨</x:v>
      </x:c>
      <x:c r="C42" s="20" t="str">
        <x:v>雨痕固定追加伤害</x:v>
      </x:c>
      <x:c r="D42" s="20" t="str">
        <x:v>点</x:v>
      </x:c>
      <x:c r="E42" s="56" t="n">
        <x:v>20</x:v>
      </x:c>
      <x:c r="F42" s="56" t="n">
        <x:v>27</x:v>
      </x:c>
      <x:c r="G42" s="56" t="n">
        <x:v>38</x:v>
      </x:c>
      <x:c r="H42" s="60" t="n">
        <x:v>56</x:v>
      </x:c>
      <x:c r="I42" s="60" t="n">
        <x:v>80</x:v>
      </x:c>
      <x:c r="J42" s="60" t="n">
        <x:v>110</x:v>
      </x:c>
      <x:c r="K42" s="11" t="str"/>
    </x:row>
    <x:row r="43" ht="24" customHeight="1">
      <x:c r="A43" s="20" t="str">
        <x:v>[E1-9]</x:v>
      </x:c>
      <x:c r="B43" s="20" t="str">
        <x:v>E1｜一蓑烟雨</x:v>
      </x:c>
      <x:c r="C43" s="20" t="str">
        <x:v>雨痕AP系数</x:v>
      </x:c>
      <x:c r="D43" s="20" t="str">
        <x:v>%AP</x:v>
      </x:c>
      <x:c r="E43" s="56" t="n">
        <x:v>30</x:v>
      </x:c>
      <x:c r="F43" s="56" t="n">
        <x:v>32</x:v>
      </x:c>
      <x:c r="G43" s="56" t="n">
        <x:v>36</x:v>
      </x:c>
      <x:c r="H43" s="60" t="n">
        <x:v>42</x:v>
      </x:c>
      <x:c r="I43" s="60" t="n">
        <x:v>50</x:v>
      </x:c>
      <x:c r="J43" s="60" t="n">
        <x:v>60</x:v>
      </x:c>
      <x:c r="K43" s="11" t="str"/>
    </x:row>
    <x:row r="44" ht="24" customHeight="1">
      <x:c r="A44" s="20" t="str">
        <x:v>[E1-10]</x:v>
      </x:c>
      <x:c r="B44" s="20" t="str">
        <x:v>E1｜一蓑烟雨</x:v>
      </x:c>
      <x:c r="C44" s="20" t="str">
        <x:v>基础冷却</x:v>
      </x:c>
      <x:c r="D44" s="20" t="str">
        <x:v>秒</x:v>
      </x:c>
      <x:c r="E44" s="58" t="n">
        <x:v>17</x:v>
      </x:c>
      <x:c r="F44" s="58" t="n">
        <x:v>16.72</x:v>
      </x:c>
      <x:c r="G44" s="58" t="n">
        <x:v>16.3</x:v>
      </x:c>
      <x:c r="H44" s="62" t="n">
        <x:v>15.6</x:v>
      </x:c>
      <x:c r="I44" s="62" t="n">
        <x:v>14.65</x:v>
      </x:c>
      <x:c r="J44" s="62" t="n">
        <x:v>13.5</x:v>
      </x:c>
      <x:c r="K44" s="11" t="str"/>
    </x:row>
    <x:row r="45" ht="24" customHeight="1">
      <x:c r="A45" s="30" t="str">
        <x:v>[E2-1]</x:v>
      </x:c>
      <x:c r="B45" s="30" t="str">
        <x:v>E2｜孤帆远影</x:v>
      </x:c>
      <x:c r="C45" s="30" t="str">
        <x:v>小舟航速</x:v>
      </x:c>
      <x:c r="D45" s="30" t="str">
        <x:v>米/秒</x:v>
      </x:c>
      <x:c r="E45" s="58" t="n">
        <x:v>3</x:v>
      </x:c>
      <x:c r="F45" s="58" t="n">
        <x:v>3.06</x:v>
      </x:c>
      <x:c r="G45" s="58" t="n">
        <x:v>3.15</x:v>
      </x:c>
      <x:c r="H45" s="62" t="n">
        <x:v>3.3</x:v>
      </x:c>
      <x:c r="I45" s="62" t="n">
        <x:v>3.5</x:v>
      </x:c>
      <x:c r="J45" s="62" t="n">
        <x:v>3.75</x:v>
      </x:c>
      <x:c r="K45" s="11" t="str"/>
    </x:row>
    <x:row r="46" ht="24" customHeight="1">
      <x:c r="A46" s="20" t="str">
        <x:v>[E2-2]</x:v>
      </x:c>
      <x:c r="B46" s="20" t="str">
        <x:v>E2｜孤帆远影</x:v>
      </x:c>
      <x:c r="C46" s="20" t="str">
        <x:v>小舟持续</x:v>
      </x:c>
      <x:c r="D46" s="20" t="str">
        <x:v>秒</x:v>
      </x:c>
      <x:c r="E46" s="58" t="n">
        <x:v>3</x:v>
      </x:c>
      <x:c r="F46" s="58" t="n">
        <x:v>3.08</x:v>
      </x:c>
      <x:c r="G46" s="58" t="n">
        <x:v>3.2</x:v>
      </x:c>
      <x:c r="H46" s="62" t="n">
        <x:v>3.4</x:v>
      </x:c>
      <x:c r="I46" s="62" t="n">
        <x:v>3.67</x:v>
      </x:c>
      <x:c r="J46" s="62" t="n">
        <x:v>4</x:v>
      </x:c>
      <x:c r="K46" s="11" t="str"/>
    </x:row>
    <x:row r="47" ht="24" customHeight="1">
      <x:c r="A47" s="20" t="str">
        <x:v>[E2-3]</x:v>
      </x:c>
      <x:c r="B47" s="20" t="str">
        <x:v>E2｜孤帆远影</x:v>
      </x:c>
      <x:c r="C47" s="20" t="str">
        <x:v>航迹宽度</x:v>
      </x:c>
      <x:c r="D47" s="20" t="str">
        <x:v>米</x:v>
      </x:c>
      <x:c r="E47" s="58" t="n">
        <x:v>1.1</x:v>
      </x:c>
      <x:c r="F47" s="58" t="n">
        <x:v>1.1</x:v>
      </x:c>
      <x:c r="G47" s="58" t="n">
        <x:v>1.1</x:v>
      </x:c>
      <x:c r="H47" s="58" t="n">
        <x:v>1.1</x:v>
      </x:c>
      <x:c r="I47" s="58" t="n">
        <x:v>1.1</x:v>
      </x:c>
      <x:c r="J47" s="58" t="n">
        <x:v>1.1</x:v>
      </x:c>
      <x:c r="K47" s="11" t="str">
        <x:v>固定参数；不随技能等级变化</x:v>
      </x:c>
    </x:row>
    <x:row r="48" ht="24" customHeight="1">
      <x:c r="A48" s="20" t="str">
        <x:v>[E2-4]</x:v>
      </x:c>
      <x:c r="B48" s="20" t="str">
        <x:v>E2｜孤帆远影</x:v>
      </x:c>
      <x:c r="C48" s="20" t="str">
        <x:v>航行固定伤害</x:v>
      </x:c>
      <x:c r="D48" s="20" t="str">
        <x:v>点</x:v>
      </x:c>
      <x:c r="E48" s="56" t="n">
        <x:v>20</x:v>
      </x:c>
      <x:c r="F48" s="56" t="n">
        <x:v>27</x:v>
      </x:c>
      <x:c r="G48" s="56" t="n">
        <x:v>37</x:v>
      </x:c>
      <x:c r="H48" s="60" t="n">
        <x:v>54</x:v>
      </x:c>
      <x:c r="I48" s="60" t="n">
        <x:v>77</x:v>
      </x:c>
      <x:c r="J48" s="60" t="n">
        <x:v>105</x:v>
      </x:c>
      <x:c r="K48" s="11" t="str"/>
    </x:row>
    <x:row r="49" ht="24" customHeight="1">
      <x:c r="A49" s="20" t="str">
        <x:v>[E2-5]</x:v>
      </x:c>
      <x:c r="B49" s="20" t="str">
        <x:v>E2｜孤帆远影</x:v>
      </x:c>
      <x:c r="C49" s="20" t="str">
        <x:v>航行AP系数</x:v>
      </x:c>
      <x:c r="D49" s="20" t="str">
        <x:v>%AP</x:v>
      </x:c>
      <x:c r="E49" s="56" t="n">
        <x:v>30</x:v>
      </x:c>
      <x:c r="F49" s="56" t="n">
        <x:v>32</x:v>
      </x:c>
      <x:c r="G49" s="56" t="n">
        <x:v>36</x:v>
      </x:c>
      <x:c r="H49" s="60" t="n">
        <x:v>42</x:v>
      </x:c>
      <x:c r="I49" s="60" t="n">
        <x:v>50</x:v>
      </x:c>
      <x:c r="J49" s="60" t="n">
        <x:v>60</x:v>
      </x:c>
      <x:c r="K49" s="11" t="str"/>
    </x:row>
    <x:row r="50" ht="24" customHeight="1">
      <x:c r="A50" s="20" t="str">
        <x:v>[E2-6]</x:v>
      </x:c>
      <x:c r="B50" s="20" t="str">
        <x:v>E2｜孤帆远影</x:v>
      </x:c>
      <x:c r="C50" s="20" t="str">
        <x:v>每敌航行伤害上限</x:v>
      </x:c>
      <x:c r="D50" s="20" t="str">
        <x:v>次</x:v>
      </x:c>
      <x:c r="E50" s="56" t="n">
        <x:v>1</x:v>
      </x:c>
      <x:c r="F50" s="56" t="n">
        <x:v>1</x:v>
      </x:c>
      <x:c r="G50" s="56" t="n">
        <x:v>1</x:v>
      </x:c>
      <x:c r="H50" s="56" t="n">
        <x:v>1</x:v>
      </x:c>
      <x:c r="I50" s="56" t="n">
        <x:v>1</x:v>
      </x:c>
      <x:c r="J50" s="56" t="n">
        <x:v>1</x:v>
      </x:c>
      <x:c r="K50" s="11" t="str">
        <x:v>固定参数；不随技能等级变化</x:v>
      </x:c>
    </x:row>
    <x:row r="51" ht="24" customHeight="1">
      <x:c r="A51" s="20" t="str">
        <x:v>[E2-7]</x:v>
      </x:c>
      <x:c r="B51" s="20" t="str">
        <x:v>E2｜孤帆远影</x:v>
      </x:c>
      <x:c r="C51" s="20" t="str">
        <x:v>登舟爆发半径</x:v>
      </x:c>
      <x:c r="D51" s="20" t="str">
        <x:v>米</x:v>
      </x:c>
      <x:c r="E51" s="58" t="n">
        <x:v>2.5</x:v>
      </x:c>
      <x:c r="F51" s="58" t="n">
        <x:v>2.58</x:v>
      </x:c>
      <x:c r="G51" s="58" t="n">
        <x:v>2.7</x:v>
      </x:c>
      <x:c r="H51" s="62" t="n">
        <x:v>2.9</x:v>
      </x:c>
      <x:c r="I51" s="62" t="n">
        <x:v>3.17</x:v>
      </x:c>
      <x:c r="J51" s="62" t="n">
        <x:v>3.5</x:v>
      </x:c>
      <x:c r="K51" s="11" t="str"/>
    </x:row>
    <x:row r="52" ht="24" customHeight="1">
      <x:c r="A52" s="20" t="str">
        <x:v>[E2-8]</x:v>
      </x:c>
      <x:c r="B52" s="20" t="str">
        <x:v>E2｜孤帆远影</x:v>
      </x:c>
      <x:c r="C52" s="20" t="str">
        <x:v>登舟固定伤害</x:v>
      </x:c>
      <x:c r="D52" s="20" t="str">
        <x:v>点</x:v>
      </x:c>
      <x:c r="E52" s="56" t="n">
        <x:v>60</x:v>
      </x:c>
      <x:c r="F52" s="56" t="n">
        <x:v>80</x:v>
      </x:c>
      <x:c r="G52" s="56" t="n">
        <x:v>110</x:v>
      </x:c>
      <x:c r="H52" s="60" t="n">
        <x:v>160</x:v>
      </x:c>
      <x:c r="I52" s="60" t="n">
        <x:v>228</x:v>
      </x:c>
      <x:c r="J52" s="60" t="n">
        <x:v>310</x:v>
      </x:c>
      <x:c r="K52" s="11" t="str"/>
    </x:row>
    <x:row r="53" ht="24" customHeight="1">
      <x:c r="A53" s="20" t="str">
        <x:v>[E2-9]</x:v>
      </x:c>
      <x:c r="B53" s="20" t="str">
        <x:v>E2｜孤帆远影</x:v>
      </x:c>
      <x:c r="C53" s="20" t="str">
        <x:v>登舟AP系数</x:v>
      </x:c>
      <x:c r="D53" s="20" t="str">
        <x:v>%AP</x:v>
      </x:c>
      <x:c r="E53" s="56" t="n">
        <x:v>65</x:v>
      </x:c>
      <x:c r="F53" s="56" t="n">
        <x:v>70</x:v>
      </x:c>
      <x:c r="G53" s="56" t="n">
        <x:v>77</x:v>
      </x:c>
      <x:c r="H53" s="60" t="n">
        <x:v>89</x:v>
      </x:c>
      <x:c r="I53" s="60" t="n">
        <x:v>105</x:v>
      </x:c>
      <x:c r="J53" s="60" t="n">
        <x:v>125</x:v>
      </x:c>
      <x:c r="K53" s="11" t="str"/>
    </x:row>
    <x:row r="54" ht="24" customHeight="1">
      <x:c r="A54" s="20" t="str">
        <x:v>[E2-10]</x:v>
      </x:c>
      <x:c r="B54" s="20" t="str">
        <x:v>E2｜孤帆远影</x:v>
      </x:c>
      <x:c r="C54" s="20" t="str">
        <x:v>自然消散爆发半径</x:v>
      </x:c>
      <x:c r="D54" s="20" t="str">
        <x:v>米</x:v>
      </x:c>
      <x:c r="E54" s="58" t="n">
        <x:v>1.8</x:v>
      </x:c>
      <x:c r="F54" s="58" t="n">
        <x:v>1.86</x:v>
      </x:c>
      <x:c r="G54" s="58" t="n">
        <x:v>1.94</x:v>
      </x:c>
      <x:c r="H54" s="62" t="n">
        <x:v>2.08</x:v>
      </x:c>
      <x:c r="I54" s="62" t="n">
        <x:v>2.27</x:v>
      </x:c>
      <x:c r="J54" s="62" t="n">
        <x:v>2.5</x:v>
      </x:c>
      <x:c r="K54" s="11" t="str"/>
    </x:row>
    <x:row r="55" ht="24" customHeight="1">
      <x:c r="A55" s="20" t="str">
        <x:v>[E2-11]</x:v>
      </x:c>
      <x:c r="B55" s="20" t="str">
        <x:v>E2｜孤帆远影</x:v>
      </x:c>
      <x:c r="C55" s="20" t="str">
        <x:v>自然消散固定伤害</x:v>
      </x:c>
      <x:c r="D55" s="20" t="str">
        <x:v>点</x:v>
      </x:c>
      <x:c r="E55" s="56" t="n">
        <x:v>35</x:v>
      </x:c>
      <x:c r="F55" s="56" t="n">
        <x:v>47</x:v>
      </x:c>
      <x:c r="G55" s="56" t="n">
        <x:v>66</x:v>
      </x:c>
      <x:c r="H55" s="60" t="n">
        <x:v>97</x:v>
      </x:c>
      <x:c r="I55" s="60" t="n">
        <x:v>139</x:v>
      </x:c>
      <x:c r="J55" s="60" t="n">
        <x:v>190</x:v>
      </x:c>
      <x:c r="K55" s="11" t="str"/>
    </x:row>
    <x:row r="56" ht="24" customHeight="1">
      <x:c r="A56" s="20" t="str">
        <x:v>[E2-12]</x:v>
      </x:c>
      <x:c r="B56" s="20" t="str">
        <x:v>E2｜孤帆远影</x:v>
      </x:c>
      <x:c r="C56" s="20" t="str">
        <x:v>自然消散AP系数</x:v>
      </x:c>
      <x:c r="D56" s="20" t="str">
        <x:v>%AP</x:v>
      </x:c>
      <x:c r="E56" s="56" t="n">
        <x:v>40</x:v>
      </x:c>
      <x:c r="F56" s="56" t="n">
        <x:v>44</x:v>
      </x:c>
      <x:c r="G56" s="56" t="n">
        <x:v>49</x:v>
      </x:c>
      <x:c r="H56" s="60" t="n">
        <x:v>58</x:v>
      </x:c>
      <x:c r="I56" s="60" t="n">
        <x:v>70</x:v>
      </x:c>
      <x:c r="J56" s="60" t="n">
        <x:v>85</x:v>
      </x:c>
      <x:c r="K56" s="11" t="str"/>
    </x:row>
    <x:row r="57" ht="24" customHeight="1">
      <x:c r="A57" s="20" t="str">
        <x:v>[E2-13]</x:v>
      </x:c>
      <x:c r="B57" s="20" t="str">
        <x:v>E2｜孤帆远影</x:v>
      </x:c>
      <x:c r="C57" s="20" t="str">
        <x:v>基础冷却</x:v>
      </x:c>
      <x:c r="D57" s="20" t="str">
        <x:v>秒</x:v>
      </x:c>
      <x:c r="E57" s="58" t="n">
        <x:v>16</x:v>
      </x:c>
      <x:c r="F57" s="58" t="n">
        <x:v>15.72</x:v>
      </x:c>
      <x:c r="G57" s="58" t="n">
        <x:v>15.3</x:v>
      </x:c>
      <x:c r="H57" s="62" t="n">
        <x:v>14.6</x:v>
      </x:c>
      <x:c r="I57" s="62" t="n">
        <x:v>13.65</x:v>
      </x:c>
      <x:c r="J57" s="62" t="n">
        <x:v>12.5</x:v>
      </x:c>
      <x:c r="K57" s="11" t="str"/>
    </x:row>
    <x:row r="58" ht="24" customHeight="1">
      <x:c r="A58" s="30" t="str">
        <x:v>[E3-1]</x:v>
      </x:c>
      <x:c r="B58" s="30" t="str">
        <x:v>E3｜咫尺千里</x:v>
      </x:c>
      <x:c r="C58" s="30" t="str">
        <x:v>首画幅施法距离</x:v>
      </x:c>
      <x:c r="D58" s="30" t="str">
        <x:v>米</x:v>
      </x:c>
      <x:c r="E58" s="56" t="n">
        <x:v>10</x:v>
      </x:c>
      <x:c r="F58" s="56" t="n">
        <x:v>10</x:v>
      </x:c>
      <x:c r="G58" s="56" t="n">
        <x:v>10</x:v>
      </x:c>
      <x:c r="H58" s="56" t="n">
        <x:v>10</x:v>
      </x:c>
      <x:c r="I58" s="56" t="n">
        <x:v>10</x:v>
      </x:c>
      <x:c r="J58" s="56" t="n">
        <x:v>10</x:v>
      </x:c>
      <x:c r="K58" s="11" t="str">
        <x:v>固定参数；不随技能等级变化</x:v>
      </x:c>
    </x:row>
    <x:row r="59" ht="24" customHeight="1">
      <x:c r="A59" s="20" t="str">
        <x:v>[E3-2]</x:v>
      </x:c>
      <x:c r="B59" s="20" t="str">
        <x:v>E3｜咫尺千里</x:v>
      </x:c>
      <x:c r="C59" s="20" t="str">
        <x:v>第二画幅窗口</x:v>
      </x:c>
      <x:c r="D59" s="20" t="str">
        <x:v>秒</x:v>
      </x:c>
      <x:c r="E59" s="56" t="n">
        <x:v>5</x:v>
      </x:c>
      <x:c r="F59" s="56" t="n">
        <x:v>5</x:v>
      </x:c>
      <x:c r="G59" s="56" t="n">
        <x:v>5</x:v>
      </x:c>
      <x:c r="H59" s="56" t="n">
        <x:v>5</x:v>
      </x:c>
      <x:c r="I59" s="56" t="n">
        <x:v>5</x:v>
      </x:c>
      <x:c r="J59" s="56" t="n">
        <x:v>5</x:v>
      </x:c>
      <x:c r="K59" s="11" t="str">
        <x:v>固定参数；不随技能等级变化</x:v>
      </x:c>
    </x:row>
    <x:row r="60" ht="24" customHeight="1">
      <x:c r="A60" s="20" t="str">
        <x:v>[E3-3]</x:v>
      </x:c>
      <x:c r="B60" s="20" t="str">
        <x:v>E3｜咫尺千里</x:v>
      </x:c>
      <x:c r="C60" s="20" t="str">
        <x:v>画幅半径</x:v>
      </x:c>
      <x:c r="D60" s="20" t="str">
        <x:v>米</x:v>
      </x:c>
      <x:c r="E60" s="58" t="n">
        <x:v>3</x:v>
      </x:c>
      <x:c r="F60" s="58" t="n">
        <x:v>3.06</x:v>
      </x:c>
      <x:c r="G60" s="58" t="n">
        <x:v>3.16</x:v>
      </x:c>
      <x:c r="H60" s="62" t="n">
        <x:v>3.32</x:v>
      </x:c>
      <x:c r="I60" s="62" t="n">
        <x:v>3.54</x:v>
      </x:c>
      <x:c r="J60" s="62" t="n">
        <x:v>3.8</x:v>
      </x:c>
      <x:c r="K60" s="11" t="str"/>
    </x:row>
    <x:row r="61" ht="24" customHeight="1">
      <x:c r="A61" s="20" t="str">
        <x:v>[E3-4]</x:v>
      </x:c>
      <x:c r="B61" s="20" t="str">
        <x:v>E3｜咫尺千里</x:v>
      </x:c>
      <x:c r="C61" s="20" t="str">
        <x:v>画幅中心最大距离</x:v>
      </x:c>
      <x:c r="D61" s="20" t="str">
        <x:v>米</x:v>
      </x:c>
      <x:c r="E61" s="58" t="n">
        <x:v>10</x:v>
      </x:c>
      <x:c r="F61" s="58" t="n">
        <x:v>10.24</x:v>
      </x:c>
      <x:c r="G61" s="58" t="n">
        <x:v>10.6</x:v>
      </x:c>
      <x:c r="H61" s="62" t="n">
        <x:v>11.2</x:v>
      </x:c>
      <x:c r="I61" s="62" t="n">
        <x:v>12.01</x:v>
      </x:c>
      <x:c r="J61" s="62" t="n">
        <x:v>13</x:v>
      </x:c>
      <x:c r="K61" s="11" t="str"/>
    </x:row>
    <x:row r="62" ht="48" customHeight="1">
      <x:c r="A62" s="20" t="str">
        <x:v>[E3-5]</x:v>
      </x:c>
      <x:c r="B62" s="20" t="str">
        <x:v>E3｜咫尺千里</x:v>
      </x:c>
      <x:c r="C62" s="20" t="str">
        <x:v>近距最高伤害阈值</x:v>
      </x:c>
      <x:c r="D62" s="20" t="str">
        <x:v>米</x:v>
      </x:c>
      <x:c r="E62" s="56" t="n">
        <x:v>2</x:v>
      </x:c>
      <x:c r="F62" s="56" t="n">
        <x:v>2</x:v>
      </x:c>
      <x:c r="G62" s="56" t="n">
        <x:v>2</x:v>
      </x:c>
      <x:c r="H62" s="56" t="n">
        <x:v>2</x:v>
      </x:c>
      <x:c r="I62" s="56" t="n">
        <x:v>2</x:v>
      </x:c>
      <x:c r="J62" s="56" t="n">
        <x:v>2</x:v>
      </x:c>
      <x:c r="K62" s="11" t="str">
        <x:v>按用户修订的正文：距离越近伤害越高；≤此距离取高值，至最大距离线性降至低值。</x:v>
      </x:c>
    </x:row>
    <x:row r="63" ht="24" customHeight="1">
      <x:c r="A63" s="20" t="str">
        <x:v>[E3-6]</x:v>
      </x:c>
      <x:c r="B63" s="20" t="str">
        <x:v>E3｜咫尺千里</x:v>
      </x:c>
      <x:c r="C63" s="20" t="str">
        <x:v>近距固定伤害</x:v>
      </x:c>
      <x:c r="D63" s="20" t="str">
        <x:v>点</x:v>
      </x:c>
      <x:c r="E63" s="56" t="n">
        <x:v>65</x:v>
      </x:c>
      <x:c r="F63" s="56" t="n">
        <x:v>88</x:v>
      </x:c>
      <x:c r="G63" s="56" t="n">
        <x:v>122</x:v>
      </x:c>
      <x:c r="H63" s="60" t="n">
        <x:v>179</x:v>
      </x:c>
      <x:c r="I63" s="60" t="n">
        <x:v>256</x:v>
      </x:c>
      <x:c r="J63" s="60" t="n">
        <x:v>350</x:v>
      </x:c>
      <x:c r="K63" s="11" t="str"/>
    </x:row>
    <x:row r="64" ht="24" customHeight="1">
      <x:c r="A64" s="20" t="str">
        <x:v>[E3-7]</x:v>
      </x:c>
      <x:c r="B64" s="20" t="str">
        <x:v>E3｜咫尺千里</x:v>
      </x:c>
      <x:c r="C64" s="20" t="str">
        <x:v>近距AP系数</x:v>
      </x:c>
      <x:c r="D64" s="20" t="str">
        <x:v>%AP</x:v>
      </x:c>
      <x:c r="E64" s="56" t="n">
        <x:v>90</x:v>
      </x:c>
      <x:c r="F64" s="56" t="n">
        <x:v>95</x:v>
      </x:c>
      <x:c r="G64" s="56" t="n">
        <x:v>102</x:v>
      </x:c>
      <x:c r="H64" s="60" t="n">
        <x:v>114</x:v>
      </x:c>
      <x:c r="I64" s="60" t="n">
        <x:v>130</x:v>
      </x:c>
      <x:c r="J64" s="60" t="n">
        <x:v>150</x:v>
      </x:c>
      <x:c r="K64" s="11" t="str"/>
    </x:row>
    <x:row r="65" ht="24" customHeight="1">
      <x:c r="A65" s="20" t="str">
        <x:v>[E3-8]</x:v>
      </x:c>
      <x:c r="B65" s="20" t="str">
        <x:v>E3｜咫尺千里</x:v>
      </x:c>
      <x:c r="C65" s="20" t="str">
        <x:v>最远距离固定伤害</x:v>
      </x:c>
      <x:c r="D65" s="20" t="str">
        <x:v>点</x:v>
      </x:c>
      <x:c r="E65" s="56" t="n">
        <x:v>30</x:v>
      </x:c>
      <x:c r="F65" s="56" t="n">
        <x:v>40</x:v>
      </x:c>
      <x:c r="G65" s="56" t="n">
        <x:v>54</x:v>
      </x:c>
      <x:c r="H65" s="60" t="n">
        <x:v>78</x:v>
      </x:c>
      <x:c r="I65" s="60" t="n">
        <x:v>110</x:v>
      </x:c>
      <x:c r="J65" s="60" t="n">
        <x:v>150</x:v>
      </x:c>
      <x:c r="K65" s="11" t="str"/>
    </x:row>
    <x:row r="66" ht="24" customHeight="1">
      <x:c r="A66" s="20" t="str">
        <x:v>[E3-9]</x:v>
      </x:c>
      <x:c r="B66" s="20" t="str">
        <x:v>E3｜咫尺千里</x:v>
      </x:c>
      <x:c r="C66" s="20" t="str">
        <x:v>最远距离AP系数</x:v>
      </x:c>
      <x:c r="D66" s="20" t="str">
        <x:v>%AP</x:v>
      </x:c>
      <x:c r="E66" s="56" t="n">
        <x:v>45</x:v>
      </x:c>
      <x:c r="F66" s="56" t="n">
        <x:v>48</x:v>
      </x:c>
      <x:c r="G66" s="56" t="n">
        <x:v>52</x:v>
      </x:c>
      <x:c r="H66" s="60" t="n">
        <x:v>59</x:v>
      </x:c>
      <x:c r="I66" s="60" t="n">
        <x:v>68</x:v>
      </x:c>
      <x:c r="J66" s="60" t="n">
        <x:v>80</x:v>
      </x:c>
      <x:c r="K66" s="11" t="str"/>
    </x:row>
    <x:row r="67" ht="24" customHeight="1">
      <x:c r="A67" s="20" t="str">
        <x:v>[E3-10]</x:v>
      </x:c>
      <x:c r="B67" s="20" t="str">
        <x:v>E3｜咫尺千里</x:v>
      </x:c>
      <x:c r="C67" s="20" t="str">
        <x:v>基础冷却</x:v>
      </x:c>
      <x:c r="D67" s="20" t="str">
        <x:v>秒</x:v>
      </x:c>
      <x:c r="E67" s="58" t="n">
        <x:v>20</x:v>
      </x:c>
      <x:c r="F67" s="58" t="n">
        <x:v>19.64</x:v>
      </x:c>
      <x:c r="G67" s="58" t="n">
        <x:v>19.1</x:v>
      </x:c>
      <x:c r="H67" s="62" t="n">
        <x:v>18.2</x:v>
      </x:c>
      <x:c r="I67" s="62" t="n">
        <x:v>16.98</x:v>
      </x:c>
      <x:c r="J67" s="62" t="n">
        <x:v>15.5</x:v>
      </x:c>
      <x:c r="K67" s="11" t="str"/>
    </x:row>
    <x:row r="68" ht="24" customHeight="1">
      <x:c r="A68" s="30" t="str">
        <x:v>[P1-1]</x:v>
      </x:c>
      <x:c r="B68" s="30" t="str">
        <x:v>P1｜计白当黑</x:v>
      </x:c>
      <x:c r="C68" s="30" t="str">
        <x:v>单目标最终伤害提高</x:v>
      </x:c>
      <x:c r="D68" s="30" t="str">
        <x:v>%</x:v>
      </x:c>
      <x:c r="E68" s="56" t="n">
        <x:v>12</x:v>
      </x:c>
      <x:c r="F68" s="56" t="n">
        <x:v>18</x:v>
      </x:c>
      <x:c r="G68" s="60" t="n">
        <x:v>30</x:v>
      </x:c>
      <x:c r="H68" s="60" t="n">
        <x:v>48</x:v>
      </x:c>
      <x:c r="I68" s="34"/>
      <x:c r="J68" s="34"/>
      <x:c r="K68" s="11" t="str"/>
    </x:row>
    <x:row r="69" ht="24" customHeight="1">
      <x:c r="A69" s="20" t="str">
        <x:v>[P1-2]</x:v>
      </x:c>
      <x:c r="B69" s="20" t="str">
        <x:v>P1｜计白当黑</x:v>
      </x:c>
      <x:c r="C69" s="20" t="str">
        <x:v>单目标冷却返还</x:v>
      </x:c>
      <x:c r="D69" s="20" t="str">
        <x:v>%</x:v>
      </x:c>
      <x:c r="E69" s="56" t="n">
        <x:v>5</x:v>
      </x:c>
      <x:c r="F69" s="56" t="n">
        <x:v>8</x:v>
      </x:c>
      <x:c r="G69" s="60" t="n">
        <x:v>14</x:v>
      </x:c>
      <x:c r="H69" s="60" t="n">
        <x:v>23</x:v>
      </x:c>
      <x:c r="I69" s="34"/>
      <x:c r="J69" s="34"/>
      <x:c r="K69" s="11" t="str"/>
    </x:row>
    <x:row r="70" ht="24" customHeight="1">
      <x:c r="A70" s="30" t="str">
        <x:v>[P2-1]</x:v>
      </x:c>
      <x:c r="B70" s="30" t="str">
        <x:v>P2｜墨分五色</x:v>
      </x:c>
      <x:c r="C70" s="30" t="str">
        <x:v>交替施法增加层数</x:v>
      </x:c>
      <x:c r="D70" s="30" t="str">
        <x:v>层</x:v>
      </x:c>
      <x:c r="E70" s="56" t="n">
        <x:v>1</x:v>
      </x:c>
      <x:c r="F70" s="56" t="n">
        <x:v>1</x:v>
      </x:c>
      <x:c r="G70" s="56" t="n">
        <x:v>1</x:v>
      </x:c>
      <x:c r="H70" s="56" t="n">
        <x:v>1</x:v>
      </x:c>
      <x:c r="I70" s="34"/>
      <x:c r="J70" s="34"/>
      <x:c r="K70" s="11" t="str">
        <x:v>固定参数；不随技能等级变化</x:v>
      </x:c>
    </x:row>
    <x:row r="71" ht="24" customHeight="1">
      <x:c r="A71" s="20" t="str">
        <x:v>[P2-2]</x:v>
      </x:c>
      <x:c r="B71" s="20" t="str">
        <x:v>P2｜墨分五色</x:v>
      </x:c>
      <x:c r="C71" s="20" t="str">
        <x:v>墨色层数上限</x:v>
      </x:c>
      <x:c r="D71" s="20" t="str">
        <x:v>层</x:v>
      </x:c>
      <x:c r="E71" s="56" t="n">
        <x:v>3</x:v>
      </x:c>
      <x:c r="F71" s="56" t="n">
        <x:v>3</x:v>
      </x:c>
      <x:c r="G71" s="56" t="n">
        <x:v>3</x:v>
      </x:c>
      <x:c r="H71" s="56" t="n">
        <x:v>3</x:v>
      </x:c>
      <x:c r="I71" s="34"/>
      <x:c r="J71" s="34"/>
      <x:c r="K71" s="11" t="str">
        <x:v>固定参数；不随技能等级变化</x:v>
      </x:c>
    </x:row>
    <x:row r="72" ht="24" customHeight="1">
      <x:c r="A72" s="20" t="str">
        <x:v>[P2-3]</x:v>
      </x:c>
      <x:c r="B72" s="20" t="str">
        <x:v>P2｜墨分五色</x:v>
      </x:c>
      <x:c r="C72" s="20" t="str">
        <x:v>墨色持续</x:v>
      </x:c>
      <x:c r="D72" s="20" t="str">
        <x:v>秒</x:v>
      </x:c>
      <x:c r="E72" s="56" t="n">
        <x:v>5</x:v>
      </x:c>
      <x:c r="F72" s="56" t="n">
        <x:v>5</x:v>
      </x:c>
      <x:c r="G72" s="56" t="n">
        <x:v>5</x:v>
      </x:c>
      <x:c r="H72" s="56" t="n">
        <x:v>5</x:v>
      </x:c>
      <x:c r="I72" s="34"/>
      <x:c r="J72" s="34"/>
      <x:c r="K72" s="11" t="str">
        <x:v>固定参数；不随技能等级变化</x:v>
      </x:c>
    </x:row>
    <x:row r="73" ht="24" customHeight="1">
      <x:c r="A73" s="20" t="str">
        <x:v>[P2-4]</x:v>
      </x:c>
      <x:c r="B73" s="20" t="str">
        <x:v>P2｜墨分五色</x:v>
      </x:c>
      <x:c r="C73" s="20" t="str">
        <x:v>每层法强加成</x:v>
      </x:c>
      <x:c r="D73" s="20" t="str">
        <x:v>%</x:v>
      </x:c>
      <x:c r="E73" s="56" t="n">
        <x:v>3</x:v>
      </x:c>
      <x:c r="F73" s="56" t="n">
        <x:v>4</x:v>
      </x:c>
      <x:c r="G73" s="60" t="n">
        <x:v>6</x:v>
      </x:c>
      <x:c r="H73" s="60" t="n">
        <x:v>9</x:v>
      </x:c>
      <x:c r="I73" s="34"/>
      <x:c r="J73" s="34"/>
      <x:c r="K73" s="11" t="str"/>
    </x:row>
    <x:row r="74" ht="24" customHeight="1">
      <x:c r="A74" s="20" t="str">
        <x:v>[P2-5]</x:v>
      </x:c>
      <x:c r="B74" s="20" t="str">
        <x:v>P2｜墨分五色</x:v>
      </x:c>
      <x:c r="C74" s="20" t="str">
        <x:v>每层移速加成</x:v>
      </x:c>
      <x:c r="D74" s="20" t="str">
        <x:v>%</x:v>
      </x:c>
      <x:c r="E74" s="58" t="n">
        <x:v>2</x:v>
      </x:c>
      <x:c r="F74" s="58" t="n">
        <x:v>2.5</x:v>
      </x:c>
      <x:c r="G74" s="62" t="n">
        <x:v>3.5</x:v>
      </x:c>
      <x:c r="H74" s="62" t="n">
        <x:v>5</x:v>
      </x:c>
      <x:c r="I74" s="34"/>
      <x:c r="J74" s="34"/>
      <x:c r="K74" s="11" t="str"/>
    </x:row>
    <x:row r="75" ht="24" customHeight="1">
      <x:c r="A75" s="20" t="str">
        <x:v>[P2-6]</x:v>
      </x:c>
      <x:c r="B75" s="20" t="str">
        <x:v>P2｜墨分五色</x:v>
      </x:c>
      <x:c r="C75" s="20" t="str">
        <x:v>浓墨半径</x:v>
      </x:c>
      <x:c r="D75" s="20" t="str">
        <x:v>米</x:v>
      </x:c>
      <x:c r="E75" s="56" t="n">
        <x:v>3</x:v>
      </x:c>
      <x:c r="F75" s="56" t="n">
        <x:v>3</x:v>
      </x:c>
      <x:c r="G75" s="56" t="n">
        <x:v>3</x:v>
      </x:c>
      <x:c r="H75" s="56" t="n">
        <x:v>3</x:v>
      </x:c>
      <x:c r="I75" s="34"/>
      <x:c r="J75" s="34"/>
      <x:c r="K75" s="11" t="str">
        <x:v>固定参数；不随技能等级变化</x:v>
      </x:c>
    </x:row>
    <x:row r="76" ht="24" customHeight="1">
      <x:c r="A76" s="20" t="str">
        <x:v>[P2-7]</x:v>
      </x:c>
      <x:c r="B76" s="20" t="str">
        <x:v>P2｜墨分五色</x:v>
      </x:c>
      <x:c r="C76" s="20" t="str">
        <x:v>浓墨固定伤害</x:v>
      </x:c>
      <x:c r="D76" s="20" t="str">
        <x:v>点</x:v>
      </x:c>
      <x:c r="E76" s="56" t="n">
        <x:v>25</x:v>
      </x:c>
      <x:c r="F76" s="56" t="n">
        <x:v>40</x:v>
      </x:c>
      <x:c r="G76" s="60" t="n">
        <x:v>80</x:v>
      </x:c>
      <x:c r="H76" s="60" t="n">
        <x:v>150</x:v>
      </x:c>
      <x:c r="I76" s="34"/>
      <x:c r="J76" s="34"/>
      <x:c r="K76" s="11" t="str"/>
    </x:row>
    <x:row r="77" ht="24" customHeight="1">
      <x:c r="A77" s="20" t="str">
        <x:v>[P2-8]</x:v>
      </x:c>
      <x:c r="B77" s="20" t="str">
        <x:v>P2｜墨分五色</x:v>
      </x:c>
      <x:c r="C77" s="20" t="str">
        <x:v>浓墨AP系数</x:v>
      </x:c>
      <x:c r="D77" s="20" t="str">
        <x:v>%AP</x:v>
      </x:c>
      <x:c r="E77" s="56" t="n">
        <x:v>25</x:v>
      </x:c>
      <x:c r="F77" s="56" t="n">
        <x:v>35</x:v>
      </x:c>
      <x:c r="G77" s="60" t="n">
        <x:v>55</x:v>
      </x:c>
      <x:c r="H77" s="60" t="n">
        <x:v>85</x:v>
      </x:c>
      <x:c r="I77" s="34"/>
      <x:c r="J77" s="34"/>
      <x:c r="K77" s="11" t="str"/>
    </x:row>
    <x:row r="78" ht="24" customHeight="1">
      <x:c r="A78" s="30" t="str">
        <x:v>[P3-1]</x:v>
      </x:c>
      <x:c r="B78" s="30" t="str">
        <x:v>P3｜气韵生动</x:v>
      </x:c>
      <x:c r="C78" s="30" t="str">
        <x:v>触发所需完整施法次数</x:v>
      </x:c>
      <x:c r="D78" s="30" t="str">
        <x:v>次</x:v>
      </x:c>
      <x:c r="E78" s="56" t="n">
        <x:v>4</x:v>
      </x:c>
      <x:c r="F78" s="56" t="n">
        <x:v>4</x:v>
      </x:c>
      <x:c r="G78" s="60" t="n">
        <x:v>4</x:v>
      </x:c>
      <x:c r="H78" s="60" t="n">
        <x:v>3</x:v>
      </x:c>
      <x:c r="I78" s="34"/>
      <x:c r="J78" s="34"/>
      <x:c r="K78" s="11" t="str"/>
    </x:row>
    <x:row r="79" ht="24" customHeight="1">
      <x:c r="A79" s="20" t="str">
        <x:v>[P3-2]</x:v>
      </x:c>
      <x:c r="B79" s="20" t="str">
        <x:v>P3｜气韵生动</x:v>
      </x:c>
      <x:c r="C79" s="20" t="str">
        <x:v>冷却减少比例</x:v>
      </x:c>
      <x:c r="D79" s="20" t="str">
        <x:v>%</x:v>
      </x:c>
      <x:c r="E79" s="56" t="n">
        <x:v>60</x:v>
      </x:c>
      <x:c r="F79" s="56" t="n">
        <x:v>68</x:v>
      </x:c>
      <x:c r="G79" s="60" t="n">
        <x:v>82</x:v>
      </x:c>
      <x:c r="H79" s="60" t="n">
        <x:v>100</x:v>
      </x:c>
      <x:c r="I79" s="34"/>
      <x:c r="J79" s="34"/>
      <x:c r="K79" s="11" t="str"/>
    </x:row>
    <x:row r="80" ht="24" customHeight="1">
      <x:c r="A80" s="30" t="str">
        <x:v>[R1-1]</x:v>
      </x:c>
      <x:c r="B80" s="30" t="str">
        <x:v>R1｜独钓寒江雪</x:v>
      </x:c>
      <x:c r="C80" s="30" t="str">
        <x:v>施法距离</x:v>
      </x:c>
      <x:c r="D80" s="30" t="str">
        <x:v>米</x:v>
      </x:c>
      <x:c r="E80" s="56" t="n">
        <x:v>12</x:v>
      </x:c>
      <x:c r="F80" s="56" t="n">
        <x:v>12</x:v>
      </x:c>
      <x:c r="G80" s="56" t="n">
        <x:v>12</x:v>
      </x:c>
      <x:c r="H80" s="56" t="n">
        <x:v>12</x:v>
      </x:c>
      <x:c r="I80" s="34"/>
      <x:c r="J80" s="34"/>
      <x:c r="K80" s="11" t="str">
        <x:v>固定参数；不随技能等级变化</x:v>
      </x:c>
    </x:row>
    <x:row r="81" ht="24" customHeight="1">
      <x:c r="A81" s="20" t="str">
        <x:v>[R1-2]</x:v>
      </x:c>
      <x:c r="B81" s="20" t="str">
        <x:v>R1｜独钓寒江雪</x:v>
      </x:c>
      <x:c r="C81" s="20" t="str">
        <x:v>雪域半径</x:v>
      </x:c>
      <x:c r="D81" s="20" t="str">
        <x:v>米</x:v>
      </x:c>
      <x:c r="E81" s="58" t="n">
        <x:v>11</x:v>
      </x:c>
      <x:c r="F81" s="58" t="n">
        <x:v>11.54</x:v>
      </x:c>
      <x:c r="G81" s="62" t="n">
        <x:v>12.5</x:v>
      </x:c>
      <x:c r="H81" s="62" t="n">
        <x:v>14</x:v>
      </x:c>
      <x:c r="I81" s="34"/>
      <x:c r="J81" s="34"/>
      <x:c r="K81" s="11" t="str"/>
    </x:row>
    <x:row r="82" ht="24" customHeight="1">
      <x:c r="A82" s="20" t="str">
        <x:v>[R1-3]</x:v>
      </x:c>
      <x:c r="B82" s="20" t="str">
        <x:v>R1｜独钓寒江雪</x:v>
      </x:c>
      <x:c r="C82" s="20" t="str">
        <x:v>雪域持续</x:v>
      </x:c>
      <x:c r="D82" s="20" t="str">
        <x:v>秒</x:v>
      </x:c>
      <x:c r="E82" s="58" t="n">
        <x:v>6</x:v>
      </x:c>
      <x:c r="F82" s="58" t="n">
        <x:v>6.7</x:v>
      </x:c>
      <x:c r="G82" s="62" t="n">
        <x:v>8.2</x:v>
      </x:c>
      <x:c r="H82" s="62" t="n">
        <x:v>10.5</x:v>
      </x:c>
      <x:c r="I82" s="34"/>
      <x:c r="J82" s="34"/>
      <x:c r="K82" s="11" t="str"/>
    </x:row>
    <x:row r="83" ht="24" customHeight="1">
      <x:c r="A83" s="20" t="str">
        <x:v>[R1-4]</x:v>
      </x:c>
      <x:c r="B83" s="20" t="str">
        <x:v>R1｜独钓寒江雪</x:v>
      </x:c>
      <x:c r="C83" s="20" t="str">
        <x:v>普通怪移速攻速降低</x:v>
      </x:c>
      <x:c r="D83" s="20" t="str">
        <x:v>%</x:v>
      </x:c>
      <x:c r="E83" s="56" t="n">
        <x:v>70</x:v>
      </x:c>
      <x:c r="F83" s="56" t="n">
        <x:v>73</x:v>
      </x:c>
      <x:c r="G83" s="60" t="n">
        <x:v>79</x:v>
      </x:c>
      <x:c r="H83" s="60" t="n">
        <x:v>88</x:v>
      </x:c>
      <x:c r="I83" s="34"/>
      <x:c r="J83" s="34"/>
      <x:c r="K83" s="11" t="str"/>
    </x:row>
    <x:row r="84" ht="24" customHeight="1">
      <x:c r="A84" s="20" t="str">
        <x:v>[R1-5]</x:v>
      </x:c>
      <x:c r="B84" s="20" t="str">
        <x:v>R1｜独钓寒江雪</x:v>
      </x:c>
      <x:c r="C84" s="20" t="str">
        <x:v>精英移速攻速降低</x:v>
      </x:c>
      <x:c r="D84" s="20" t="str">
        <x:v>%</x:v>
      </x:c>
      <x:c r="E84" s="56" t="n">
        <x:v>40</x:v>
      </x:c>
      <x:c r="F84" s="56" t="n">
        <x:v>44</x:v>
      </x:c>
      <x:c r="G84" s="60" t="n">
        <x:v>52</x:v>
      </x:c>
      <x:c r="H84" s="60" t="n">
        <x:v>65</x:v>
      </x:c>
      <x:c r="I84" s="34"/>
      <x:c r="J84" s="34"/>
      <x:c r="K84" s="11" t="str"/>
    </x:row>
    <x:row r="85" ht="24" customHeight="1">
      <x:c r="A85" s="20" t="str">
        <x:v>[R1-6]</x:v>
      </x:c>
      <x:c r="B85" s="20" t="str">
        <x:v>R1｜独钓寒江雪</x:v>
      </x:c>
      <x:c r="C85" s="20" t="str">
        <x:v>Boss移速攻速降低</x:v>
      </x:c>
      <x:c r="D85" s="20" t="str">
        <x:v>%</x:v>
      </x:c>
      <x:c r="E85" s="56" t="n">
        <x:v>25</x:v>
      </x:c>
      <x:c r="F85" s="56" t="n">
        <x:v>28</x:v>
      </x:c>
      <x:c r="G85" s="60" t="n">
        <x:v>35</x:v>
      </x:c>
      <x:c r="H85" s="60" t="n">
        <x:v>45</x:v>
      </x:c>
      <x:c r="I85" s="34"/>
      <x:c r="J85" s="34"/>
      <x:c r="K85" s="11" t="str"/>
    </x:row>
    <x:row r="86" ht="24" customHeight="1">
      <x:c r="A86" s="20" t="str">
        <x:v>[R1-7]</x:v>
      </x:c>
      <x:c r="B86" s="20" t="str">
        <x:v>R1｜独钓寒江雪</x:v>
      </x:c>
      <x:c r="C86" s="20" t="str">
        <x:v>基础冷却</x:v>
      </x:c>
      <x:c r="D86" s="20" t="str">
        <x:v>秒</x:v>
      </x:c>
      <x:c r="E86" s="56" t="n">
        <x:v>140</x:v>
      </x:c>
      <x:c r="F86" s="56" t="n">
        <x:v>131</x:v>
      </x:c>
      <x:c r="G86" s="60" t="n">
        <x:v>116</x:v>
      </x:c>
      <x:c r="H86" s="60" t="n">
        <x:v>96</x:v>
      </x:c>
      <x:c r="I86" s="34"/>
      <x:c r="J86" s="34"/>
      <x:c r="K86" s="11" t="str"/>
    </x:row>
    <x:row r="87" ht="24" customHeight="1">
      <x:c r="A87" s="30" t="str">
        <x:v>[R2-1]</x:v>
      </x:c>
      <x:c r="B87" s="30" t="str">
        <x:v>R2｜千里江山</x:v>
      </x:c>
      <x:c r="C87" s="30" t="str">
        <x:v>施法距离</x:v>
      </x:c>
      <x:c r="D87" s="30" t="str">
        <x:v>米</x:v>
      </x:c>
      <x:c r="E87" s="56" t="n">
        <x:v>12</x:v>
      </x:c>
      <x:c r="F87" s="56" t="n">
        <x:v>12</x:v>
      </x:c>
      <x:c r="G87" s="56" t="n">
        <x:v>12</x:v>
      </x:c>
      <x:c r="H87" s="56" t="n">
        <x:v>12</x:v>
      </x:c>
      <x:c r="I87" s="34"/>
      <x:c r="J87" s="34"/>
      <x:c r="K87" s="11" t="str">
        <x:v>固定参数；不随技能等级变化</x:v>
      </x:c>
    </x:row>
    <x:row r="88" ht="24" customHeight="1">
      <x:c r="A88" s="20" t="str">
        <x:v>[R2-2]</x:v>
      </x:c>
      <x:c r="B88" s="20" t="str">
        <x:v>R2｜千里江山</x:v>
      </x:c>
      <x:c r="C88" s="20" t="str">
        <x:v>领域半径</x:v>
      </x:c>
      <x:c r="D88" s="20" t="str">
        <x:v>米</x:v>
      </x:c>
      <x:c r="E88" s="58" t="n">
        <x:v>10</x:v>
      </x:c>
      <x:c r="F88" s="58" t="n">
        <x:v>10.54</x:v>
      </x:c>
      <x:c r="G88" s="62" t="n">
        <x:v>11.5</x:v>
      </x:c>
      <x:c r="H88" s="62" t="n">
        <x:v>13</x:v>
      </x:c>
      <x:c r="I88" s="34"/>
      <x:c r="J88" s="34"/>
      <x:c r="K88" s="11" t="str"/>
    </x:row>
    <x:row r="89" ht="24" customHeight="1">
      <x:c r="A89" s="20" t="str">
        <x:v>[R2-3]</x:v>
      </x:c>
      <x:c r="B89" s="20" t="str">
        <x:v>R2｜千里江山</x:v>
      </x:c>
      <x:c r="C89" s="20" t="str">
        <x:v>领域持续</x:v>
      </x:c>
      <x:c r="D89" s="20" t="str">
        <x:v>秒</x:v>
      </x:c>
      <x:c r="E89" s="58" t="n">
        <x:v>5</x:v>
      </x:c>
      <x:c r="F89" s="58" t="n">
        <x:v>5.5</x:v>
      </x:c>
      <x:c r="G89" s="62" t="n">
        <x:v>6.5</x:v>
      </x:c>
      <x:c r="H89" s="62" t="n">
        <x:v>8</x:v>
      </x:c>
      <x:c r="I89" s="34"/>
      <x:c r="J89" s="34"/>
      <x:c r="K89" s="11" t="str"/>
    </x:row>
    <x:row r="90" ht="24" customHeight="1">
      <x:c r="A90" s="20" t="str">
        <x:v>[R2-4]</x:v>
      </x:c>
      <x:c r="B90" s="20" t="str">
        <x:v>R2｜千里江山</x:v>
      </x:c>
      <x:c r="C90" s="20" t="str">
        <x:v>山峰间隔</x:v>
      </x:c>
      <x:c r="D90" s="20" t="str">
        <x:v>秒</x:v>
      </x:c>
      <x:c r="E90" s="58" t="n">
        <x:v>1.5</x:v>
      </x:c>
      <x:c r="F90" s="58" t="n">
        <x:v>1.4</x:v>
      </x:c>
      <x:c r="G90" s="62" t="n">
        <x:v>1.2</x:v>
      </x:c>
      <x:c r="H90" s="62" t="n">
        <x:v>1</x:v>
      </x:c>
      <x:c r="I90" s="34"/>
      <x:c r="J90" s="34"/>
      <x:c r="K90" s="11" t="str"/>
    </x:row>
    <x:row r="91" ht="24" customHeight="1">
      <x:c r="A91" s="20" t="str">
        <x:v>[R2-5]</x:v>
      </x:c>
      <x:c r="B91" s="20" t="str">
        <x:v>R2｜千里江山</x:v>
      </x:c>
      <x:c r="C91" s="20" t="str">
        <x:v>单条笔锋存在</x:v>
      </x:c>
      <x:c r="D91" s="20" t="str">
        <x:v>秒</x:v>
      </x:c>
      <x:c r="E91" s="58" t="n">
        <x:v>0.3</x:v>
      </x:c>
      <x:c r="F91" s="58" t="n">
        <x:v>0.3</x:v>
      </x:c>
      <x:c r="G91" s="58" t="n">
        <x:v>0.3</x:v>
      </x:c>
      <x:c r="H91" s="58" t="n">
        <x:v>0.3</x:v>
      </x:c>
      <x:c r="I91" s="34"/>
      <x:c r="J91" s="34"/>
      <x:c r="K91" s="11" t="str">
        <x:v>固定参数；不随技能等级变化</x:v>
      </x:c>
    </x:row>
    <x:row r="92" ht="24" customHeight="1">
      <x:c r="A92" s="20" t="str">
        <x:v>[R2-6]</x:v>
      </x:c>
      <x:c r="B92" s="20" t="str">
        <x:v>R2｜千里江山</x:v>
      </x:c>
      <x:c r="C92" s="20" t="str">
        <x:v>笔锋长度</x:v>
      </x:c>
      <x:c r="D92" s="20" t="str">
        <x:v>米</x:v>
      </x:c>
      <x:c r="E92" s="56" t="n">
        <x:v>18</x:v>
      </x:c>
      <x:c r="F92" s="56" t="n">
        <x:v>18</x:v>
      </x:c>
      <x:c r="G92" s="56" t="n">
        <x:v>18</x:v>
      </x:c>
      <x:c r="H92" s="56" t="n">
        <x:v>18</x:v>
      </x:c>
      <x:c r="I92" s="34"/>
      <x:c r="J92" s="34"/>
      <x:c r="K92" s="11" t="str">
        <x:v>固定参数；不随技能等级变化</x:v>
      </x:c>
    </x:row>
    <x:row r="93" ht="24" customHeight="1">
      <x:c r="A93" s="20" t="str">
        <x:v>[R2-7]</x:v>
      </x:c>
      <x:c r="B93" s="20" t="str">
        <x:v>R2｜千里江山</x:v>
      </x:c>
      <x:c r="C93" s="20" t="str">
        <x:v>笔锋宽度</x:v>
      </x:c>
      <x:c r="D93" s="20" t="str">
        <x:v>米</x:v>
      </x:c>
      <x:c r="E93" s="56" t="n">
        <x:v>4</x:v>
      </x:c>
      <x:c r="F93" s="56" t="n">
        <x:v>4</x:v>
      </x:c>
      <x:c r="G93" s="56" t="n">
        <x:v>4</x:v>
      </x:c>
      <x:c r="H93" s="56" t="n">
        <x:v>4</x:v>
      </x:c>
      <x:c r="I93" s="34"/>
      <x:c r="J93" s="34"/>
      <x:c r="K93" s="11" t="str">
        <x:v>固定参数；不随技能等级变化</x:v>
      </x:c>
    </x:row>
    <x:row r="94" ht="24" customHeight="1">
      <x:c r="A94" s="20" t="str">
        <x:v>[R2-8]</x:v>
      </x:c>
      <x:c r="B94" s="20" t="str">
        <x:v>R2｜千里江山</x:v>
      </x:c>
      <x:c r="C94" s="20" t="str">
        <x:v>笔锋固定伤害</x:v>
      </x:c>
      <x:c r="D94" s="20" t="str">
        <x:v>点</x:v>
      </x:c>
      <x:c r="E94" s="56" t="n">
        <x:v>90</x:v>
      </x:c>
      <x:c r="F94" s="56" t="n">
        <x:v>120</x:v>
      </x:c>
      <x:c r="G94" s="60" t="n">
        <x:v>190</x:v>
      </x:c>
      <x:c r="H94" s="60" t="n">
        <x:v>300</x:v>
      </x:c>
      <x:c r="I94" s="34"/>
      <x:c r="J94" s="34"/>
      <x:c r="K94" s="11" t="str"/>
    </x:row>
    <x:row r="95" ht="24" customHeight="1">
      <x:c r="A95" s="20" t="str">
        <x:v>[R2-9]</x:v>
      </x:c>
      <x:c r="B95" s="20" t="str">
        <x:v>R2｜千里江山</x:v>
      </x:c>
      <x:c r="C95" s="20" t="str">
        <x:v>笔锋AP系数</x:v>
      </x:c>
      <x:c r="D95" s="20" t="str">
        <x:v>%AP</x:v>
      </x:c>
      <x:c r="E95" s="56" t="n">
        <x:v>65</x:v>
      </x:c>
      <x:c r="F95" s="56" t="n">
        <x:v>75</x:v>
      </x:c>
      <x:c r="G95" s="60" t="n">
        <x:v>95</x:v>
      </x:c>
      <x:c r="H95" s="60" t="n">
        <x:v>135</x:v>
      </x:c>
      <x:c r="I95" s="34"/>
      <x:c r="J95" s="34"/>
      <x:c r="K95" s="11" t="str"/>
    </x:row>
    <x:row r="96" ht="24" customHeight="1">
      <x:c r="A96" s="20" t="str">
        <x:v>[R2-10]</x:v>
      </x:c>
      <x:c r="B96" s="20" t="str">
        <x:v>R2｜千里江山</x:v>
      </x:c>
      <x:c r="C96" s="20" t="str">
        <x:v>收卷固定伤害</x:v>
      </x:c>
      <x:c r="D96" s="20" t="str">
        <x:v>点</x:v>
      </x:c>
      <x:c r="E96" s="56" t="n">
        <x:v>300</x:v>
      </x:c>
      <x:c r="F96" s="56" t="n">
        <x:v>420</x:v>
      </x:c>
      <x:c r="G96" s="60" t="n">
        <x:v>720</x:v>
      </x:c>
      <x:c r="H96" s="60" t="n">
        <x:v>1150</x:v>
      </x:c>
      <x:c r="I96" s="34"/>
      <x:c r="J96" s="34"/>
      <x:c r="K96" s="11" t="str"/>
    </x:row>
    <x:row r="97" ht="24" customHeight="1">
      <x:c r="A97" s="20" t="str">
        <x:v>[R2-11]</x:v>
      </x:c>
      <x:c r="B97" s="20" t="str">
        <x:v>R2｜千里江山</x:v>
      </x:c>
      <x:c r="C97" s="20" t="str">
        <x:v>收卷AP系数</x:v>
      </x:c>
      <x:c r="D97" s="20" t="str">
        <x:v>%AP</x:v>
      </x:c>
      <x:c r="E97" s="56" t="n">
        <x:v>220</x:v>
      </x:c>
      <x:c r="F97" s="56" t="n">
        <x:v>260</x:v>
      </x:c>
      <x:c r="G97" s="60" t="n">
        <x:v>340</x:v>
      </x:c>
      <x:c r="H97" s="60" t="n">
        <x:v>470</x:v>
      </x:c>
      <x:c r="I97" s="34"/>
      <x:c r="J97" s="34"/>
      <x:c r="K97" s="11" t="str"/>
    </x:row>
    <x:row r="98" ht="24" customHeight="1">
      <x:c r="A98" s="20" t="str">
        <x:v>[R2-12]</x:v>
      </x:c>
      <x:c r="B98" s="20" t="str">
        <x:v>R2｜千里江山</x:v>
      </x:c>
      <x:c r="C98" s="20" t="str">
        <x:v>基础冷却</x:v>
      </x:c>
      <x:c r="D98" s="20" t="str">
        <x:v>秒</x:v>
      </x:c>
      <x:c r="E98" s="56" t="n">
        <x:v>145</x:v>
      </x:c>
      <x:c r="F98" s="56" t="n">
        <x:v>136</x:v>
      </x:c>
      <x:c r="G98" s="60" t="n">
        <x:v>121</x:v>
      </x:c>
      <x:c r="H98" s="60" t="n">
        <x:v>101</x:v>
      </x:c>
      <x:c r="I98" s="34"/>
      <x:c r="J98" s="34"/>
      <x:c r="K98" s="11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9cbcaf6d714848f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27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37" hidden="0" customWidth="1"/>
  </x:cols>
  <x:sheetData>
    <x:row r="1" ht="36" customHeight="1">
      <x:c r="A1" s="7" t="str">
        <x:v>弧翎｜技能数值 v0.3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30" customHeight="1">
      <x:c r="A2" s="11" t="str">
        <x:v>Q/E：6档；被动/R：4档。蓝字可编辑；浅黄列为后段成长。百分比栏填100表示100%。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 ht="24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8" customHeight="1">
      <x:c r="A4" s="16" t="str">
        <x:v>占位编号</x:v>
      </x:c>
      <x:c r="B4" s="16" t="str">
        <x:v>技能</x:v>
      </x:c>
      <x:c r="C4" s="16" t="str">
        <x:v>数值项</x:v>
      </x:c>
      <x:c r="D4" s="16" t="str">
        <x:v>单位</x:v>
      </x:c>
      <x:c r="E4" s="16" t="str">
        <x:v>Lv1</x:v>
      </x:c>
      <x:c r="F4" s="16" t="str">
        <x:v>Lv2</x:v>
      </x:c>
      <x:c r="G4" s="16" t="str">
        <x:v>Lv3</x:v>
      </x:c>
      <x:c r="H4" s="16" t="str">
        <x:v>Lv4</x:v>
      </x:c>
      <x:c r="I4" s="16" t="str">
        <x:v>Lv5</x:v>
      </x:c>
      <x:c r="J4" s="16" t="str">
        <x:v>Lv6</x:v>
      </x:c>
      <x:c r="K4" s="16" t="str">
        <x:v>备注</x:v>
      </x:c>
    </x:row>
    <x:row r="5" ht="24" customHeight="1">
      <x:c r="A5" s="30" t="str">
        <x:v>[Q1-1]</x:v>
      </x:c>
      <x:c r="B5" s="30" t="str">
        <x:v>Q1｜贯星</x:v>
      </x:c>
      <x:c r="C5" s="30" t="str">
        <x:v>蓄力时长</x:v>
      </x:c>
      <x:c r="D5" s="30" t="str">
        <x:v>秒</x:v>
      </x:c>
      <x:c r="E5" s="58" t="n">
        <x:v>0.45</x:v>
      </x:c>
      <x:c r="F5" s="58" t="n">
        <x:v>0.44</x:v>
      </x:c>
      <x:c r="G5" s="58" t="n">
        <x:v>0.42</x:v>
      </x:c>
      <x:c r="H5" s="62" t="n">
        <x:v>0.38</x:v>
      </x:c>
      <x:c r="I5" s="62" t="n">
        <x:v>0.34</x:v>
      </x:c>
      <x:c r="J5" s="62" t="n">
        <x:v>0.28</x:v>
      </x:c>
      <x:c r="K5" s="11" t="str"/>
    </x:row>
    <x:row r="6" ht="24" customHeight="1">
      <x:c r="A6" s="20" t="str">
        <x:v>[Q1-2]</x:v>
      </x:c>
      <x:c r="B6" s="20" t="str">
        <x:v>Q1｜贯星</x:v>
      </x:c>
      <x:c r="C6" s="20" t="str">
        <x:v>固定伤害</x:v>
      </x:c>
      <x:c r="D6" s="20" t="str">
        <x:v>点</x:v>
      </x:c>
      <x:c r="E6" s="56" t="n">
        <x:v>75</x:v>
      </x:c>
      <x:c r="F6" s="56" t="n">
        <x:v>99</x:v>
      </x:c>
      <x:c r="G6" s="56" t="n">
        <x:v>134</x:v>
      </x:c>
      <x:c r="H6" s="60" t="n">
        <x:v>193</x:v>
      </x:c>
      <x:c r="I6" s="60" t="n">
        <x:v>273</x:v>
      </x:c>
      <x:c r="J6" s="60" t="n">
        <x:v>370</x:v>
      </x:c>
      <x:c r="K6" s="11" t="str"/>
    </x:row>
    <x:row r="7" ht="24" customHeight="1">
      <x:c r="A7" s="20" t="str">
        <x:v>[Q1-3]</x:v>
      </x:c>
      <x:c r="B7" s="20" t="str">
        <x:v>Q1｜贯星</x:v>
      </x:c>
      <x:c r="C7" s="20" t="str">
        <x:v>AD系数</x:v>
      </x:c>
      <x:c r="D7" s="20" t="str">
        <x:v>%AD</x:v>
      </x:c>
      <x:c r="E7" s="56" t="n">
        <x:v>145</x:v>
      </x:c>
      <x:c r="F7" s="56" t="n">
        <x:v>151</x:v>
      </x:c>
      <x:c r="G7" s="56" t="n">
        <x:v>160</x:v>
      </x:c>
      <x:c r="H7" s="60" t="n">
        <x:v>175</x:v>
      </x:c>
      <x:c r="I7" s="60" t="n">
        <x:v>195</x:v>
      </x:c>
      <x:c r="J7" s="60" t="n">
        <x:v>220</x:v>
      </x:c>
      <x:c r="K7" s="11" t="str"/>
    </x:row>
    <x:row r="8" ht="24" customHeight="1">
      <x:c r="A8" s="20" t="str">
        <x:v>[Q1-4]</x:v>
      </x:c>
      <x:c r="B8" s="20" t="str">
        <x:v>Q1｜贯星</x:v>
      </x:c>
      <x:c r="C8" s="20" t="str">
        <x:v>磁轨射程</x:v>
      </x:c>
      <x:c r="D8" s="20" t="str">
        <x:v>米</x:v>
      </x:c>
      <x:c r="E8" s="58" t="n">
        <x:v>18</x:v>
      </x:c>
      <x:c r="F8" s="58" t="n">
        <x:v>18.4</x:v>
      </x:c>
      <x:c r="G8" s="58" t="n">
        <x:v>19</x:v>
      </x:c>
      <x:c r="H8" s="62" t="n">
        <x:v>20</x:v>
      </x:c>
      <x:c r="I8" s="62" t="n">
        <x:v>21.35</x:v>
      </x:c>
      <x:c r="J8" s="62" t="n">
        <x:v>23</x:v>
      </x:c>
      <x:c r="K8" s="11" t="str"/>
    </x:row>
    <x:row r="9" ht="24" customHeight="1">
      <x:c r="A9" s="20" t="str">
        <x:v>[Q1-5]</x:v>
      </x:c>
      <x:c r="B9" s="20" t="str">
        <x:v>Q1｜贯星</x:v>
      </x:c>
      <x:c r="C9" s="20" t="str">
        <x:v>弹道宽度</x:v>
      </x:c>
      <x:c r="D9" s="20" t="str">
        <x:v>米</x:v>
      </x:c>
      <x:c r="E9" s="58" t="n">
        <x:v>0.8</x:v>
      </x:c>
      <x:c r="F9" s="58" t="n">
        <x:v>0.83</x:v>
      </x:c>
      <x:c r="G9" s="58" t="n">
        <x:v>0.87</x:v>
      </x:c>
      <x:c r="H9" s="62" t="n">
        <x:v>0.94</x:v>
      </x:c>
      <x:c r="I9" s="62" t="n">
        <x:v>1.03</x:v>
      </x:c>
      <x:c r="J9" s="62" t="n">
        <x:v>1.15</x:v>
      </x:c>
      <x:c r="K9" s="11" t="str"/>
    </x:row>
    <x:row r="10" ht="24" customHeight="1">
      <x:c r="A10" s="20" t="str">
        <x:v>[Q1-6]</x:v>
      </x:c>
      <x:c r="B10" s="20" t="str">
        <x:v>Q1｜贯星</x:v>
      </x:c>
      <x:c r="C10" s="20" t="str">
        <x:v>磁轨速度</x:v>
      </x:c>
      <x:c r="D10" s="20" t="str">
        <x:v>米/秒</x:v>
      </x:c>
      <x:c r="E10" s="56" t="n">
        <x:v>45</x:v>
      </x:c>
      <x:c r="F10" s="56" t="n">
        <x:v>45</x:v>
      </x:c>
      <x:c r="G10" s="56" t="n">
        <x:v>45</x:v>
      </x:c>
      <x:c r="H10" s="56" t="n">
        <x:v>45</x:v>
      </x:c>
      <x:c r="I10" s="56" t="n">
        <x:v>45</x:v>
      </x:c>
      <x:c r="J10" s="56" t="n">
        <x:v>45</x:v>
      </x:c>
      <x:c r="K10" s="11" t="str">
        <x:v>固定参数；不随技能等级变化</x:v>
      </x:c>
    </x:row>
    <x:row r="11" ht="24" customHeight="1">
      <x:c r="A11" s="20" t="str">
        <x:v>[Q1-7]</x:v>
      </x:c>
      <x:c r="B11" s="20" t="str">
        <x:v>Q1｜贯星</x:v>
      </x:c>
      <x:c r="C11" s="20" t="str">
        <x:v>每敌伤害衰减</x:v>
      </x:c>
      <x:c r="D11" s="20" t="str">
        <x:v>个</x:v>
      </x:c>
      <x:c r="E11" s="56" t="n">
        <x:v>8</x:v>
      </x:c>
      <x:c r="F11" s="56" t="n">
        <x:v>8</x:v>
      </x:c>
      <x:c r="G11" s="56" t="n">
        <x:v>8</x:v>
      </x:c>
      <x:c r="H11" s="56" t="n">
        <x:v>8</x:v>
      </x:c>
      <x:c r="I11" s="56" t="n">
        <x:v>8</x:v>
      </x:c>
      <x:c r="J11" s="56" t="n">
        <x:v>8</x:v>
      </x:c>
      <x:c r="K11" s="11" t="str">
        <x:v>固定参数；不随技能等级变化</x:v>
      </x:c>
    </x:row>
    <x:row r="12" ht="24" customHeight="1">
      <x:c r="A12" s="20" t="str">
        <x:v>[Q1-8]</x:v>
      </x:c>
      <x:c r="B12" s="20" t="str">
        <x:v>Q1｜贯星</x:v>
      </x:c>
      <x:c r="C12" s="20" t="str">
        <x:v>最低伤害保留比例</x:v>
      </x:c>
      <x:c r="D12" s="20" t="str">
        <x:v>%</x:v>
      </x:c>
      <x:c r="E12" s="56" t="n">
        <x:v>70</x:v>
      </x:c>
      <x:c r="F12" s="56" t="n">
        <x:v>70</x:v>
      </x:c>
      <x:c r="G12" s="56" t="n">
        <x:v>70</x:v>
      </x:c>
      <x:c r="H12" s="56" t="n">
        <x:v>70</x:v>
      </x:c>
      <x:c r="I12" s="56" t="n">
        <x:v>70</x:v>
      </x:c>
      <x:c r="J12" s="56" t="n">
        <x:v>70</x:v>
      </x:c>
      <x:c r="K12" s="11" t="str">
        <x:v>固定参数；不随技能等级变化</x:v>
      </x:c>
    </x:row>
    <x:row r="13" ht="24" customHeight="1">
      <x:c r="A13" s="20" t="str">
        <x:v>[Q1-9]</x:v>
      </x:c>
      <x:c r="B13" s="20" t="str">
        <x:v>Q1｜贯星</x:v>
      </x:c>
      <x:c r="C13" s="20" t="str">
        <x:v>基础冷却</x:v>
      </x:c>
      <x:c r="D13" s="20" t="str">
        <x:v>秒</x:v>
      </x:c>
      <x:c r="E13" s="58" t="n">
        <x:v>7</x:v>
      </x:c>
      <x:c r="F13" s="58" t="n">
        <x:v>6.88</x:v>
      </x:c>
      <x:c r="G13" s="58" t="n">
        <x:v>6.7</x:v>
      </x:c>
      <x:c r="H13" s="62" t="n">
        <x:v>6.4</x:v>
      </x:c>
      <x:c r="I13" s="62" t="n">
        <x:v>6</x:v>
      </x:c>
      <x:c r="J13" s="62" t="n">
        <x:v>5.5</x:v>
      </x:c>
      <x:c r="K13" s="11" t="str"/>
    </x:row>
    <x:row r="14" ht="24" customHeight="1">
      <x:c r="A14" s="30" t="str">
        <x:v>[Q2-1]</x:v>
      </x:c>
      <x:c r="B14" s="30" t="str">
        <x:v>Q2｜蜂群锁定</x:v>
      </x:c>
      <x:c r="C14" s="30" t="str">
        <x:v>扫描半径</x:v>
      </x:c>
      <x:c r="D14" s="30" t="str">
        <x:v>米</x:v>
      </x:c>
      <x:c r="E14" s="56" t="n">
        <x:v>11</x:v>
      </x:c>
      <x:c r="F14" s="56" t="n">
        <x:v>11</x:v>
      </x:c>
      <x:c r="G14" s="56" t="n">
        <x:v>11</x:v>
      </x:c>
      <x:c r="H14" s="56" t="n">
        <x:v>11</x:v>
      </x:c>
      <x:c r="I14" s="56" t="n">
        <x:v>11</x:v>
      </x:c>
      <x:c r="J14" s="56" t="n">
        <x:v>11</x:v>
      </x:c>
      <x:c r="K14" s="11" t="str">
        <x:v>固定参数；不随技能等级变化</x:v>
      </x:c>
    </x:row>
    <x:row r="15" ht="24" customHeight="1">
      <x:c r="A15" s="20" t="str">
        <x:v>[Q2-2]</x:v>
      </x:c>
      <x:c r="B15" s="20" t="str">
        <x:v>Q2｜蜂群锁定</x:v>
      </x:c>
      <x:c r="C15" s="20" t="str">
        <x:v>扫描扇角</x:v>
      </x:c>
      <x:c r="D15" s="20" t="str">
        <x:v>度</x:v>
      </x:c>
      <x:c r="E15" s="56" t="n">
        <x:v>100</x:v>
      </x:c>
      <x:c r="F15" s="56" t="n">
        <x:v>100</x:v>
      </x:c>
      <x:c r="G15" s="56" t="n">
        <x:v>100</x:v>
      </x:c>
      <x:c r="H15" s="56" t="n">
        <x:v>100</x:v>
      </x:c>
      <x:c r="I15" s="56" t="n">
        <x:v>100</x:v>
      </x:c>
      <x:c r="J15" s="56" t="n">
        <x:v>100</x:v>
      </x:c>
      <x:c r="K15" s="11" t="str">
        <x:v>固定参数；不随技能等级变化</x:v>
      </x:c>
    </x:row>
    <x:row r="16" ht="24" customHeight="1">
      <x:c r="A16" s="20" t="str">
        <x:v>[Q2-3]</x:v>
      </x:c>
      <x:c r="B16" s="20" t="str">
        <x:v>Q2｜蜂群锁定</x:v>
      </x:c>
      <x:c r="C16" s="20" t="str">
        <x:v>最大锁定人数</x:v>
      </x:c>
      <x:c r="D16" s="20" t="str">
        <x:v>名</x:v>
      </x:c>
      <x:c r="E16" s="56" t="n">
        <x:v>6</x:v>
      </x:c>
      <x:c r="F16" s="56" t="n">
        <x:v>6</x:v>
      </x:c>
      <x:c r="G16" s="56" t="n">
        <x:v>6</x:v>
      </x:c>
      <x:c r="H16" s="60" t="n">
        <x:v>7</x:v>
      </x:c>
      <x:c r="I16" s="60" t="n">
        <x:v>8</x:v>
      </x:c>
      <x:c r="J16" s="60" t="n">
        <x:v>9</x:v>
      </x:c>
      <x:c r="K16" s="11" t="str"/>
    </x:row>
    <x:row r="17" ht="24" customHeight="1">
      <x:c r="A17" s="20" t="str">
        <x:v>[Q2-4]</x:v>
      </x:c>
      <x:c r="B17" s="20" t="str">
        <x:v>Q2｜蜂群锁定</x:v>
      </x:c>
      <x:c r="C17" s="20" t="str">
        <x:v>最大锁定时长</x:v>
      </x:c>
      <x:c r="D17" s="20" t="str">
        <x:v>秒</x:v>
      </x:c>
      <x:c r="E17" s="58" t="n">
        <x:v>0.7</x:v>
      </x:c>
      <x:c r="F17" s="58" t="n">
        <x:v>0.68</x:v>
      </x:c>
      <x:c r="G17" s="58" t="n">
        <x:v>0.64</x:v>
      </x:c>
      <x:c r="H17" s="62" t="n">
        <x:v>0.58</x:v>
      </x:c>
      <x:c r="I17" s="62" t="n">
        <x:v>0.5</x:v>
      </x:c>
      <x:c r="J17" s="62" t="n">
        <x:v>0.4</x:v>
      </x:c>
      <x:c r="K17" s="11" t="str"/>
    </x:row>
    <x:row r="18" ht="24" customHeight="1">
      <x:c r="A18" s="20" t="str">
        <x:v>[Q2-5]</x:v>
      </x:c>
      <x:c r="B18" s="20" t="str">
        <x:v>Q2｜蜂群锁定</x:v>
      </x:c>
      <x:c r="C18" s="20" t="str">
        <x:v>微弹数量</x:v>
      </x:c>
      <x:c r="D18" s="20" t="str">
        <x:v>枚</x:v>
      </x:c>
      <x:c r="E18" s="56" t="n">
        <x:v>6</x:v>
      </x:c>
      <x:c r="F18" s="56" t="n">
        <x:v>6</x:v>
      </x:c>
      <x:c r="G18" s="56" t="n">
        <x:v>6</x:v>
      </x:c>
      <x:c r="H18" s="60" t="n">
        <x:v>7</x:v>
      </x:c>
      <x:c r="I18" s="60" t="n">
        <x:v>8</x:v>
      </x:c>
      <x:c r="J18" s="60" t="n">
        <x:v>9</x:v>
      </x:c>
      <x:c r="K18" s="11" t="str"/>
    </x:row>
    <x:row r="19" ht="24" customHeight="1">
      <x:c r="A19" s="20" t="str">
        <x:v>[Q2-6]</x:v>
      </x:c>
      <x:c r="B19" s="20" t="str">
        <x:v>Q2｜蜂群锁定</x:v>
      </x:c>
      <x:c r="C19" s="20" t="str">
        <x:v>单枚固定伤害</x:v>
      </x:c>
      <x:c r="D19" s="20" t="str">
        <x:v>点</x:v>
      </x:c>
      <x:c r="E19" s="56" t="n">
        <x:v>15</x:v>
      </x:c>
      <x:c r="F19" s="56" t="n">
        <x:v>19</x:v>
      </x:c>
      <x:c r="G19" s="56" t="n">
        <x:v>26</x:v>
      </x:c>
      <x:c r="H19" s="60" t="n">
        <x:v>36</x:v>
      </x:c>
      <x:c r="I19" s="60" t="n">
        <x:v>51</x:v>
      </x:c>
      <x:c r="J19" s="60" t="n">
        <x:v>68</x:v>
      </x:c>
      <x:c r="K19" s="11" t="str"/>
    </x:row>
    <x:row r="20" ht="24" customHeight="1">
      <x:c r="A20" s="20" t="str">
        <x:v>[Q2-7]</x:v>
      </x:c>
      <x:c r="B20" s="20" t="str">
        <x:v>Q2｜蜂群锁定</x:v>
      </x:c>
      <x:c r="C20" s="20" t="str">
        <x:v>单枚AD系数</x:v>
      </x:c>
      <x:c r="D20" s="20" t="str">
        <x:v>%AD</x:v>
      </x:c>
      <x:c r="E20" s="56" t="n">
        <x:v>45</x:v>
      </x:c>
      <x:c r="F20" s="56" t="n">
        <x:v>47</x:v>
      </x:c>
      <x:c r="G20" s="56" t="n">
        <x:v>50</x:v>
      </x:c>
      <x:c r="H20" s="60" t="n">
        <x:v>54</x:v>
      </x:c>
      <x:c r="I20" s="60" t="n">
        <x:v>60</x:v>
      </x:c>
      <x:c r="J20" s="60" t="n">
        <x:v>68</x:v>
      </x:c>
      <x:c r="K20" s="11" t="str"/>
    </x:row>
    <x:row r="21" ht="24" customHeight="1">
      <x:c r="A21" s="20" t="str">
        <x:v>[Q2-8]</x:v>
      </x:c>
      <x:c r="B21" s="20" t="str">
        <x:v>Q2｜蜂群锁定</x:v>
      </x:c>
      <x:c r="C21" s="20" t="str">
        <x:v>微弹速度</x:v>
      </x:c>
      <x:c r="D21" s="20" t="str">
        <x:v>米/秒</x:v>
      </x:c>
      <x:c r="E21" s="56" t="n">
        <x:v>20</x:v>
      </x:c>
      <x:c r="F21" s="56" t="n">
        <x:v>20</x:v>
      </x:c>
      <x:c r="G21" s="56" t="n">
        <x:v>20</x:v>
      </x:c>
      <x:c r="H21" s="56" t="n">
        <x:v>20</x:v>
      </x:c>
      <x:c r="I21" s="56" t="n">
        <x:v>20</x:v>
      </x:c>
      <x:c r="J21" s="56" t="n">
        <x:v>20</x:v>
      </x:c>
      <x:c r="K21" s="11" t="str">
        <x:v>固定参数；不随技能等级变化</x:v>
      </x:c>
    </x:row>
    <x:row r="22" ht="24" customHeight="1">
      <x:c r="A22" s="20" t="str">
        <x:v>[Q2-9]</x:v>
      </x:c>
      <x:c r="B22" s="20" t="str">
        <x:v>Q2｜蜂群锁定</x:v>
      </x:c>
      <x:c r="C22" s="20" t="str">
        <x:v>单目标承弹上限</x:v>
      </x:c>
      <x:c r="D22" s="20" t="str">
        <x:v>枚</x:v>
      </x:c>
      <x:c r="E22" s="56" t="n">
        <x:v>3</x:v>
      </x:c>
      <x:c r="F22" s="56" t="n">
        <x:v>3</x:v>
      </x:c>
      <x:c r="G22" s="56" t="n">
        <x:v>3</x:v>
      </x:c>
      <x:c r="H22" s="60" t="n">
        <x:v>4</x:v>
      </x:c>
      <x:c r="I22" s="60" t="n">
        <x:v>4</x:v>
      </x:c>
      <x:c r="J22" s="60" t="n">
        <x:v>5</x:v>
      </x:c>
      <x:c r="K22" s="11" t="str"/>
    </x:row>
    <x:row r="23" ht="24" customHeight="1">
      <x:c r="A23" s="20" t="str">
        <x:v>[Q2-10]</x:v>
      </x:c>
      <x:c r="B23" s="20" t="str">
        <x:v>Q2｜蜂群锁定</x:v>
      </x:c>
      <x:c r="C23" s="20" t="str">
        <x:v>基础冷却</x:v>
      </x:c>
      <x:c r="D23" s="20" t="str">
        <x:v>秒</x:v>
      </x:c>
      <x:c r="E23" s="58" t="n">
        <x:v>9</x:v>
      </x:c>
      <x:c r="F23" s="58" t="n">
        <x:v>8.84</x:v>
      </x:c>
      <x:c r="G23" s="58" t="n">
        <x:v>8.6</x:v>
      </x:c>
      <x:c r="H23" s="62" t="n">
        <x:v>8.2</x:v>
      </x:c>
      <x:c r="I23" s="62" t="n">
        <x:v>7.66</x:v>
      </x:c>
      <x:c r="J23" s="62" t="n">
        <x:v>7</x:v>
      </x:c>
      <x:c r="K23" s="11" t="str"/>
    </x:row>
    <x:row r="24" ht="24" customHeight="1">
      <x:c r="A24" s="30" t="str">
        <x:v>[Q3-1]</x:v>
      </x:c>
      <x:c r="B24" s="30" t="str">
        <x:v>Q3｜折光刃轮</x:v>
      </x:c>
      <x:c r="C24" s="30" t="str">
        <x:v>刃轮半径</x:v>
      </x:c>
      <x:c r="D24" s="30" t="str">
        <x:v>米</x:v>
      </x:c>
      <x:c r="E24" s="58" t="n">
        <x:v>0.65</x:v>
      </x:c>
      <x:c r="F24" s="58" t="n">
        <x:v>0.67</x:v>
      </x:c>
      <x:c r="G24" s="58" t="n">
        <x:v>0.69</x:v>
      </x:c>
      <x:c r="H24" s="62" t="n">
        <x:v>0.73</x:v>
      </x:c>
      <x:c r="I24" s="62" t="n">
        <x:v>0.78</x:v>
      </x:c>
      <x:c r="J24" s="62" t="n">
        <x:v>0.85</x:v>
      </x:c>
      <x:c r="K24" s="11" t="str"/>
    </x:row>
    <x:row r="25" ht="24" customHeight="1">
      <x:c r="A25" s="20" t="str">
        <x:v>[Q3-2]</x:v>
      </x:c>
      <x:c r="B25" s="20" t="str">
        <x:v>Q3｜折光刃轮</x:v>
      </x:c>
      <x:c r="C25" s="20" t="str">
        <x:v>刃轮速度</x:v>
      </x:c>
      <x:c r="D25" s="20" t="str">
        <x:v>米/秒</x:v>
      </x:c>
      <x:c r="E25" s="56" t="n">
        <x:v>18</x:v>
      </x:c>
      <x:c r="F25" s="56" t="n">
        <x:v>18</x:v>
      </x:c>
      <x:c r="G25" s="56" t="n">
        <x:v>18</x:v>
      </x:c>
      <x:c r="H25" s="56" t="n">
        <x:v>18</x:v>
      </x:c>
      <x:c r="I25" s="56" t="n">
        <x:v>18</x:v>
      </x:c>
      <x:c r="J25" s="56" t="n">
        <x:v>18</x:v>
      </x:c>
      <x:c r="K25" s="11" t="str">
        <x:v>固定参数；不随技能等级变化</x:v>
      </x:c>
    </x:row>
    <x:row r="26" ht="24" customHeight="1">
      <x:c r="A26" s="20" t="str">
        <x:v>[Q3-3]</x:v>
      </x:c>
      <x:c r="B26" s="20" t="str">
        <x:v>Q3｜折光刃轮</x:v>
      </x:c>
      <x:c r="C26" s="20" t="str">
        <x:v>最大反弹次数</x:v>
      </x:c>
      <x:c r="D26" s="20" t="str">
        <x:v>次</x:v>
      </x:c>
      <x:c r="E26" s="56" t="n">
        <x:v>5</x:v>
      </x:c>
      <x:c r="F26" s="56" t="n">
        <x:v>5</x:v>
      </x:c>
      <x:c r="G26" s="56" t="n">
        <x:v>5</x:v>
      </x:c>
      <x:c r="H26" s="60" t="n">
        <x:v>6</x:v>
      </x:c>
      <x:c r="I26" s="60" t="n">
        <x:v>6</x:v>
      </x:c>
      <x:c r="J26" s="60" t="n">
        <x:v>7</x:v>
      </x:c>
      <x:c r="K26" s="11" t="str"/>
    </x:row>
    <x:row r="27" ht="24" customHeight="1">
      <x:c r="A27" s="20" t="str">
        <x:v>[Q3-4]</x:v>
      </x:c>
      <x:c r="B27" s="20" t="str">
        <x:v>Q3｜折光刃轮</x:v>
      </x:c>
      <x:c r="C27" s="20" t="str">
        <x:v>刃轮最长存续</x:v>
      </x:c>
      <x:c r="D27" s="20" t="str">
        <x:v>秒</x:v>
      </x:c>
      <x:c r="E27" s="56" t="n">
        <x:v>4</x:v>
      </x:c>
      <x:c r="F27" s="56" t="n">
        <x:v>4</x:v>
      </x:c>
      <x:c r="G27" s="56" t="n">
        <x:v>4</x:v>
      </x:c>
      <x:c r="H27" s="56" t="n">
        <x:v>4</x:v>
      </x:c>
      <x:c r="I27" s="56" t="n">
        <x:v>4</x:v>
      </x:c>
      <x:c r="J27" s="56" t="n">
        <x:v>4</x:v>
      </x:c>
      <x:c r="K27" s="11" t="str">
        <x:v>固定参数；不随技能等级变化</x:v>
      </x:c>
    </x:row>
    <x:row r="28" ht="24" customHeight="1">
      <x:c r="A28" s="20" t="str">
        <x:v>[Q3-5]</x:v>
      </x:c>
      <x:c r="B28" s="20" t="str">
        <x:v>Q3｜折光刃轮</x:v>
      </x:c>
      <x:c r="C28" s="20" t="str">
        <x:v>每次固定伤害</x:v>
      </x:c>
      <x:c r="D28" s="20" t="str">
        <x:v>点</x:v>
      </x:c>
      <x:c r="E28" s="56" t="n">
        <x:v>35</x:v>
      </x:c>
      <x:c r="F28" s="56" t="n">
        <x:v>46</x:v>
      </x:c>
      <x:c r="G28" s="56" t="n">
        <x:v>63</x:v>
      </x:c>
      <x:c r="H28" s="60" t="n">
        <x:v>91</x:v>
      </x:c>
      <x:c r="I28" s="60" t="n">
        <x:v>129</x:v>
      </x:c>
      <x:c r="J28" s="60" t="n">
        <x:v>175</x:v>
      </x:c>
      <x:c r="K28" s="11" t="str"/>
    </x:row>
    <x:row r="29" ht="24" customHeight="1">
      <x:c r="A29" s="20" t="str">
        <x:v>[Q3-6]</x:v>
      </x:c>
      <x:c r="B29" s="20" t="str">
        <x:v>Q3｜折光刃轮</x:v>
      </x:c>
      <x:c r="C29" s="20" t="str">
        <x:v>每次AD系数</x:v>
      </x:c>
      <x:c r="D29" s="20" t="str">
        <x:v>%AD</x:v>
      </x:c>
      <x:c r="E29" s="56" t="n">
        <x:v>60</x:v>
      </x:c>
      <x:c r="F29" s="56" t="n">
        <x:v>64</x:v>
      </x:c>
      <x:c r="G29" s="56" t="n">
        <x:v>69</x:v>
      </x:c>
      <x:c r="H29" s="60" t="n">
        <x:v>78</x:v>
      </x:c>
      <x:c r="I29" s="60" t="n">
        <x:v>90</x:v>
      </x:c>
      <x:c r="J29" s="60" t="n">
        <x:v>105</x:v>
      </x:c>
      <x:c r="K29" s="11" t="str"/>
    </x:row>
    <x:row r="30" ht="24" customHeight="1">
      <x:c r="A30" s="20" t="str">
        <x:v>[Q3-7]</x:v>
      </x:c>
      <x:c r="B30" s="20" t="str">
        <x:v>Q3｜折光刃轮</x:v>
      </x:c>
      <x:c r="C30" s="20" t="str">
        <x:v>单目标命中上限</x:v>
      </x:c>
      <x:c r="D30" s="20" t="str">
        <x:v>次</x:v>
      </x:c>
      <x:c r="E30" s="56" t="n">
        <x:v>2</x:v>
      </x:c>
      <x:c r="F30" s="56" t="n">
        <x:v>2</x:v>
      </x:c>
      <x:c r="G30" s="56" t="n">
        <x:v>2</x:v>
      </x:c>
      <x:c r="H30" s="56" t="n">
        <x:v>2</x:v>
      </x:c>
      <x:c r="I30" s="56" t="n">
        <x:v>2</x:v>
      </x:c>
      <x:c r="J30" s="56" t="n">
        <x:v>2</x:v>
      </x:c>
      <x:c r="K30" s="11" t="str">
        <x:v>固定参数；不随技能等级变化</x:v>
      </x:c>
    </x:row>
    <x:row r="31" ht="24" customHeight="1">
      <x:c r="A31" s="20" t="str">
        <x:v>[Q3-8]</x:v>
      </x:c>
      <x:c r="B31" s="20" t="str">
        <x:v>Q3｜折光刃轮</x:v>
      </x:c>
      <x:c r="C31" s="20" t="str">
        <x:v>每次反弹下次命中增伤</x:v>
      </x:c>
      <x:c r="D31" s="20" t="str">
        <x:v>%</x:v>
      </x:c>
      <x:c r="E31" s="56" t="n">
        <x:v>20</x:v>
      </x:c>
      <x:c r="F31" s="56" t="n">
        <x:v>21</x:v>
      </x:c>
      <x:c r="G31" s="56" t="n">
        <x:v>23</x:v>
      </x:c>
      <x:c r="H31" s="60" t="n">
        <x:v>26</x:v>
      </x:c>
      <x:c r="I31" s="60" t="n">
        <x:v>30</x:v>
      </x:c>
      <x:c r="J31" s="60" t="n">
        <x:v>35</x:v>
      </x:c>
      <x:c r="K31" s="11" t="str"/>
    </x:row>
    <x:row r="32" ht="24" customHeight="1">
      <x:c r="A32" s="20" t="str">
        <x:v>[Q3-9]</x:v>
      </x:c>
      <x:c r="B32" s="20" t="str">
        <x:v>Q3｜折光刃轮</x:v>
      </x:c>
      <x:c r="C32" s="20" t="str">
        <x:v>基础冷却</x:v>
      </x:c>
      <x:c r="D32" s="20" t="str">
        <x:v>秒</x:v>
      </x:c>
      <x:c r="E32" s="58" t="n">
        <x:v>8</x:v>
      </x:c>
      <x:c r="F32" s="58" t="n">
        <x:v>7.87</x:v>
      </x:c>
      <x:c r="G32" s="58" t="n">
        <x:v>7.68</x:v>
      </x:c>
      <x:c r="H32" s="62" t="n">
        <x:v>7.36</x:v>
      </x:c>
      <x:c r="I32" s="62" t="n">
        <x:v>6.93</x:v>
      </x:c>
      <x:c r="J32" s="62" t="n">
        <x:v>6.4</x:v>
      </x:c>
      <x:c r="K32" s="11" t="str"/>
    </x:row>
    <x:row r="33" ht="24" customHeight="1">
      <x:c r="A33" s="30" t="str">
        <x:v>[E1-1]</x:v>
      </x:c>
      <x:c r="B33" s="30" t="str">
        <x:v>E1｜逆冲</x:v>
      </x:c>
      <x:c r="C33" s="30" t="str">
        <x:v>光针数量</x:v>
      </x:c>
      <x:c r="D33" s="30" t="str">
        <x:v>枚</x:v>
      </x:c>
      <x:c r="E33" s="56" t="n">
        <x:v>3</x:v>
      </x:c>
      <x:c r="F33" s="56" t="n">
        <x:v>3</x:v>
      </x:c>
      <x:c r="G33" s="56" t="n">
        <x:v>3</x:v>
      </x:c>
      <x:c r="H33" s="56" t="n">
        <x:v>3</x:v>
      </x:c>
      <x:c r="I33" s="56" t="n">
        <x:v>3</x:v>
      </x:c>
      <x:c r="J33" s="56" t="n">
        <x:v>3</x:v>
      </x:c>
      <x:c r="K33" s="11" t="str">
        <x:v>固定参数；不随技能等级变化</x:v>
      </x:c>
    </x:row>
    <x:row r="34" ht="24" customHeight="1">
      <x:c r="A34" s="20" t="str">
        <x:v>[E1-2]</x:v>
      </x:c>
      <x:c r="B34" s="20" t="str">
        <x:v>E1｜逆冲</x:v>
      </x:c>
      <x:c r="C34" s="20" t="str">
        <x:v>后撤距离</x:v>
      </x:c>
      <x:c r="D34" s="20" t="str">
        <x:v>米</x:v>
      </x:c>
      <x:c r="E34" s="58" t="n">
        <x:v>3.5</x:v>
      </x:c>
      <x:c r="F34" s="58" t="n">
        <x:v>3.62</x:v>
      </x:c>
      <x:c r="G34" s="58" t="n">
        <x:v>3.8</x:v>
      </x:c>
      <x:c r="H34" s="62" t="n">
        <x:v>4.1</x:v>
      </x:c>
      <x:c r="I34" s="62" t="n">
        <x:v>4.5</x:v>
      </x:c>
      <x:c r="J34" s="62" t="n">
        <x:v>5</x:v>
      </x:c>
      <x:c r="K34" s="11" t="str"/>
    </x:row>
    <x:row r="35" ht="24" customHeight="1">
      <x:c r="A35" s="20" t="str">
        <x:v>[E1-3]</x:v>
      </x:c>
      <x:c r="B35" s="20" t="str">
        <x:v>E1｜逆冲</x:v>
      </x:c>
      <x:c r="C35" s="20" t="str">
        <x:v>后撤持续</x:v>
      </x:c>
      <x:c r="D35" s="20" t="str">
        <x:v>秒</x:v>
      </x:c>
      <x:c r="E35" s="58" t="n">
        <x:v>0.3</x:v>
      </x:c>
      <x:c r="F35" s="58" t="n">
        <x:v>0.3</x:v>
      </x:c>
      <x:c r="G35" s="58" t="n">
        <x:v>0.3</x:v>
      </x:c>
      <x:c r="H35" s="58" t="n">
        <x:v>0.3</x:v>
      </x:c>
      <x:c r="I35" s="58" t="n">
        <x:v>0.3</x:v>
      </x:c>
      <x:c r="J35" s="58" t="n">
        <x:v>0.3</x:v>
      </x:c>
      <x:c r="K35" s="11" t="str">
        <x:v>固定参数；不随技能等级变化</x:v>
      </x:c>
    </x:row>
    <x:row r="36" ht="24" customHeight="1">
      <x:c r="A36" s="20" t="str">
        <x:v>[E1-4]</x:v>
      </x:c>
      <x:c r="B36" s="20" t="str">
        <x:v>E1｜逆冲</x:v>
      </x:c>
      <x:c r="C36" s="20" t="str">
        <x:v>单枚固定伤害</x:v>
      </x:c>
      <x:c r="D36" s="20" t="str">
        <x:v>点</x:v>
      </x:c>
      <x:c r="E36" s="56" t="n">
        <x:v>15</x:v>
      </x:c>
      <x:c r="F36" s="56" t="n">
        <x:v>20</x:v>
      </x:c>
      <x:c r="G36" s="56" t="n">
        <x:v>27</x:v>
      </x:c>
      <x:c r="H36" s="60" t="n">
        <x:v>39</x:v>
      </x:c>
      <x:c r="I36" s="60" t="n">
        <x:v>55</x:v>
      </x:c>
      <x:c r="J36" s="60" t="n">
        <x:v>75</x:v>
      </x:c>
      <x:c r="K36" s="11" t="str"/>
    </x:row>
    <x:row r="37" ht="24" customHeight="1">
      <x:c r="A37" s="20" t="str">
        <x:v>[E1-5]</x:v>
      </x:c>
      <x:c r="B37" s="20" t="str">
        <x:v>E1｜逆冲</x:v>
      </x:c>
      <x:c r="C37" s="20" t="str">
        <x:v>单枚AD系数</x:v>
      </x:c>
      <x:c r="D37" s="20" t="str">
        <x:v>%AD</x:v>
      </x:c>
      <x:c r="E37" s="56" t="n">
        <x:v>40</x:v>
      </x:c>
      <x:c r="F37" s="56" t="n">
        <x:v>42</x:v>
      </x:c>
      <x:c r="G37" s="56" t="n">
        <x:v>44</x:v>
      </x:c>
      <x:c r="H37" s="60" t="n">
        <x:v>49</x:v>
      </x:c>
      <x:c r="I37" s="60" t="n">
        <x:v>55</x:v>
      </x:c>
      <x:c r="J37" s="60" t="n">
        <x:v>62</x:v>
      </x:c>
      <x:c r="K37" s="11" t="str"/>
    </x:row>
    <x:row r="38" ht="24" customHeight="1">
      <x:c r="A38" s="20" t="str">
        <x:v>[E1-6]</x:v>
      </x:c>
      <x:c r="B38" s="20" t="str">
        <x:v>E1｜逆冲</x:v>
      </x:c>
      <x:c r="C38" s="20" t="str">
        <x:v>光针射程</x:v>
      </x:c>
      <x:c r="D38" s="20" t="str">
        <x:v>米</x:v>
      </x:c>
      <x:c r="E38" s="56" t="n">
        <x:v>12</x:v>
      </x:c>
      <x:c r="F38" s="56" t="n">
        <x:v>12</x:v>
      </x:c>
      <x:c r="G38" s="56" t="n">
        <x:v>12</x:v>
      </x:c>
      <x:c r="H38" s="56" t="n">
        <x:v>12</x:v>
      </x:c>
      <x:c r="I38" s="56" t="n">
        <x:v>12</x:v>
      </x:c>
      <x:c r="J38" s="56" t="n">
        <x:v>12</x:v>
      </x:c>
      <x:c r="K38" s="11" t="str">
        <x:v>固定参数；不随技能等级变化</x:v>
      </x:c>
    </x:row>
    <x:row r="39" ht="24" customHeight="1">
      <x:c r="A39" s="20" t="str">
        <x:v>[E1-7]</x:v>
      </x:c>
      <x:c r="B39" s="20" t="str">
        <x:v>E1｜逆冲</x:v>
      </x:c>
      <x:c r="C39" s="20" t="str">
        <x:v>光针宽度</x:v>
      </x:c>
      <x:c r="D39" s="20" t="str">
        <x:v>米</x:v>
      </x:c>
      <x:c r="E39" s="58" t="n">
        <x:v>0.5</x:v>
      </x:c>
      <x:c r="F39" s="58" t="n">
        <x:v>0.5</x:v>
      </x:c>
      <x:c r="G39" s="58" t="n">
        <x:v>0.5</x:v>
      </x:c>
      <x:c r="H39" s="58" t="n">
        <x:v>0.5</x:v>
      </x:c>
      <x:c r="I39" s="58" t="n">
        <x:v>0.5</x:v>
      </x:c>
      <x:c r="J39" s="58" t="n">
        <x:v>0.5</x:v>
      </x:c>
      <x:c r="K39" s="11" t="str">
        <x:v>固定参数；不随技能等级变化</x:v>
      </x:c>
    </x:row>
    <x:row r="40" ht="24" customHeight="1">
      <x:c r="A40" s="20" t="str">
        <x:v>[E1-8]</x:v>
      </x:c>
      <x:c r="B40" s="20" t="str">
        <x:v>E1｜逆冲</x:v>
      </x:c>
      <x:c r="C40" s="20" t="str">
        <x:v>光针速度</x:v>
      </x:c>
      <x:c r="D40" s="20" t="str">
        <x:v>米/秒</x:v>
      </x:c>
      <x:c r="E40" s="56" t="n">
        <x:v>28</x:v>
      </x:c>
      <x:c r="F40" s="56" t="n">
        <x:v>28</x:v>
      </x:c>
      <x:c r="G40" s="56" t="n">
        <x:v>28</x:v>
      </x:c>
      <x:c r="H40" s="56" t="n">
        <x:v>28</x:v>
      </x:c>
      <x:c r="I40" s="56" t="n">
        <x:v>28</x:v>
      </x:c>
      <x:c r="J40" s="56" t="n">
        <x:v>28</x:v>
      </x:c>
      <x:c r="K40" s="11" t="str">
        <x:v>固定参数；不随技能等级变化</x:v>
      </x:c>
    </x:row>
    <x:row r="41" ht="24" customHeight="1">
      <x:c r="A41" s="20" t="str">
        <x:v>[E1-9]</x:v>
      </x:c>
      <x:c r="B41" s="20" t="str">
        <x:v>E1｜逆冲</x:v>
      </x:c>
      <x:c r="C41" s="20" t="str">
        <x:v>光针发射间隔</x:v>
      </x:c>
      <x:c r="D41" s="20" t="str">
        <x:v>秒</x:v>
      </x:c>
      <x:c r="E41" s="58" t="n">
        <x:v>0.08</x:v>
      </x:c>
      <x:c r="F41" s="58" t="n">
        <x:v>0.08</x:v>
      </x:c>
      <x:c r="G41" s="58" t="n">
        <x:v>0.08</x:v>
      </x:c>
      <x:c r="H41" s="58" t="n">
        <x:v>0.08</x:v>
      </x:c>
      <x:c r="I41" s="58" t="n">
        <x:v>0.08</x:v>
      </x:c>
      <x:c r="J41" s="58" t="n">
        <x:v>0.08</x:v>
      </x:c>
      <x:c r="K41" s="11" t="str">
        <x:v>固定参数；不随技能等级变化</x:v>
      </x:c>
    </x:row>
    <x:row r="42" ht="24" customHeight="1">
      <x:c r="A42" s="20" t="str">
        <x:v>[E1-10]</x:v>
      </x:c>
      <x:c r="B42" s="20" t="str">
        <x:v>E1｜逆冲</x:v>
      </x:c>
      <x:c r="C42" s="20" t="str">
        <x:v>基础冷却</x:v>
      </x:c>
      <x:c r="D42" s="20" t="str">
        <x:v>秒</x:v>
      </x:c>
      <x:c r="E42" s="58" t="n">
        <x:v>12</x:v>
      </x:c>
      <x:c r="F42" s="58" t="n">
        <x:v>11.76</x:v>
      </x:c>
      <x:c r="G42" s="58" t="n">
        <x:v>11.4</x:v>
      </x:c>
      <x:c r="H42" s="62" t="n">
        <x:v>10.8</x:v>
      </x:c>
      <x:c r="I42" s="62" t="n">
        <x:v>9.99</x:v>
      </x:c>
      <x:c r="J42" s="62" t="n">
        <x:v>9</x:v>
      </x:c>
      <x:c r="K42" s="11" t="str"/>
    </x:row>
    <x:row r="43" ht="24" customHeight="1">
      <x:c r="A43" s="30" t="str">
        <x:v>[E2-1]</x:v>
      </x:c>
      <x:c r="B43" s="30" t="str">
        <x:v>E2｜六翼悬膛</x:v>
      </x:c>
      <x:c r="C43" s="30" t="str">
        <x:v>悬膛最长持续</x:v>
      </x:c>
      <x:c r="D43" s="30" t="str">
        <x:v>秒</x:v>
      </x:c>
      <x:c r="E43" s="58" t="n">
        <x:v>6</x:v>
      </x:c>
      <x:c r="F43" s="58" t="n">
        <x:v>6.16</x:v>
      </x:c>
      <x:c r="G43" s="58" t="n">
        <x:v>6.4</x:v>
      </x:c>
      <x:c r="H43" s="62" t="n">
        <x:v>6.8</x:v>
      </x:c>
      <x:c r="I43" s="62" t="n">
        <x:v>7.34</x:v>
      </x:c>
      <x:c r="J43" s="62" t="n">
        <x:v>8</x:v>
      </x:c>
      <x:c r="K43" s="11" t="str"/>
    </x:row>
    <x:row r="44" ht="24" customHeight="1">
      <x:c r="A44" s="20" t="str">
        <x:v>[E2-2]</x:v>
      </x:c>
      <x:c r="B44" s="20" t="str">
        <x:v>E2｜六翼悬膛</x:v>
      </x:c>
      <x:c r="C44" s="20" t="str">
        <x:v>储存普攻上限</x:v>
      </x:c>
      <x:c r="D44" s="20" t="str">
        <x:v>次</x:v>
      </x:c>
      <x:c r="E44" s="56" t="n">
        <x:v>6</x:v>
      </x:c>
      <x:c r="F44" s="56" t="n">
        <x:v>6</x:v>
      </x:c>
      <x:c r="G44" s="56" t="n">
        <x:v>6</x:v>
      </x:c>
      <x:c r="H44" s="56" t="n">
        <x:v>6</x:v>
      </x:c>
      <x:c r="I44" s="56" t="n">
        <x:v>6</x:v>
      </x:c>
      <x:c r="J44" s="56" t="n">
        <x:v>6</x:v>
      </x:c>
      <x:c r="K44" s="11" t="str">
        <x:v>固定参数；不随技能等级变化</x:v>
      </x:c>
    </x:row>
    <x:row r="45" ht="24" customHeight="1">
      <x:c r="A45" s="20" t="str">
        <x:v>[E2-3]</x:v>
      </x:c>
      <x:c r="B45" s="20" t="str">
        <x:v>E2｜六翼悬膛</x:v>
      </x:c>
      <x:c r="C45" s="20" t="str">
        <x:v>储存伤害系数</x:v>
      </x:c>
      <x:c r="D45" s="20" t="str">
        <x:v>%</x:v>
      </x:c>
      <x:c r="E45" s="56" t="n">
        <x:v>110</x:v>
      </x:c>
      <x:c r="F45" s="56" t="n">
        <x:v>114</x:v>
      </x:c>
      <x:c r="G45" s="56" t="n">
        <x:v>119</x:v>
      </x:c>
      <x:c r="H45" s="60" t="n">
        <x:v>128</x:v>
      </x:c>
      <x:c r="I45" s="60" t="n">
        <x:v>140</x:v>
      </x:c>
      <x:c r="J45" s="60" t="n">
        <x:v>155</x:v>
      </x:c>
      <x:c r="K45" s="11" t="str"/>
    </x:row>
    <x:row r="46" ht="24" customHeight="1">
      <x:c r="A46" s="20" t="str">
        <x:v>[E2-4]</x:v>
      </x:c>
      <x:c r="B46" s="20" t="str">
        <x:v>E2｜六翼悬膛</x:v>
      </x:c>
      <x:c r="C46" s="20" t="str">
        <x:v>基础冷却</x:v>
      </x:c>
      <x:c r="D46" s="20" t="str">
        <x:v>秒</x:v>
      </x:c>
      <x:c r="E46" s="58" t="n">
        <x:v>14</x:v>
      </x:c>
      <x:c r="F46" s="58" t="n">
        <x:v>13.72</x:v>
      </x:c>
      <x:c r="G46" s="58" t="n">
        <x:v>13.3</x:v>
      </x:c>
      <x:c r="H46" s="62" t="n">
        <x:v>12.6</x:v>
      </x:c>
      <x:c r="I46" s="62" t="n">
        <x:v>11.65</x:v>
      </x:c>
      <x:c r="J46" s="62" t="n">
        <x:v>10.5</x:v>
      </x:c>
      <x:c r="K46" s="11" t="str"/>
    </x:row>
    <x:row r="47" ht="24" customHeight="1">
      <x:c r="A47" s="30" t="str">
        <x:v>[E3-1]</x:v>
      </x:c>
      <x:c r="B47" s="30" t="str">
        <x:v>E3｜六翼闭合</x:v>
      </x:c>
      <x:c r="C47" s="30" t="str">
        <x:v>护盾固定值</x:v>
      </x:c>
      <x:c r="D47" s="30" t="str">
        <x:v>点</x:v>
      </x:c>
      <x:c r="E47" s="56" t="n">
        <x:v>100</x:v>
      </x:c>
      <x:c r="F47" s="56" t="n">
        <x:v>144</x:v>
      </x:c>
      <x:c r="G47" s="56" t="n">
        <x:v>210</x:v>
      </x:c>
      <x:c r="H47" s="60" t="n">
        <x:v>320</x:v>
      </x:c>
      <x:c r="I47" s="60" t="n">
        <x:v>468</x:v>
      </x:c>
      <x:c r="J47" s="60" t="n">
        <x:v>650</x:v>
      </x:c>
      <x:c r="K47" s="11" t="str"/>
    </x:row>
    <x:row r="48" ht="24" customHeight="1">
      <x:c r="A48" s="20" t="str">
        <x:v>[E3-2]</x:v>
      </x:c>
      <x:c r="B48" s="20" t="str">
        <x:v>E3｜六翼闭合</x:v>
      </x:c>
      <x:c r="C48" s="20" t="str">
        <x:v>护盾AD系数</x:v>
      </x:c>
      <x:c r="D48" s="20" t="str">
        <x:v>%AD</x:v>
      </x:c>
      <x:c r="E48" s="56" t="n">
        <x:v>180</x:v>
      </x:c>
      <x:c r="F48" s="56" t="n">
        <x:v>194</x:v>
      </x:c>
      <x:c r="G48" s="56" t="n">
        <x:v>216</x:v>
      </x:c>
      <x:c r="H48" s="60" t="n">
        <x:v>252</x:v>
      </x:c>
      <x:c r="I48" s="60" t="n">
        <x:v>301</x:v>
      </x:c>
      <x:c r="J48" s="60" t="n">
        <x:v>360</x:v>
      </x:c>
      <x:c r="K48" s="11" t="str"/>
    </x:row>
    <x:row r="49" ht="24" customHeight="1">
      <x:c r="A49" s="20" t="str">
        <x:v>[E3-3]</x:v>
      </x:c>
      <x:c r="B49" s="20" t="str">
        <x:v>E3｜六翼闭合</x:v>
      </x:c>
      <x:c r="C49" s="20" t="str">
        <x:v>闭合持续</x:v>
      </x:c>
      <x:c r="D49" s="20" t="str">
        <x:v>秒</x:v>
      </x:c>
      <x:c r="E49" s="58" t="n">
        <x:v>1.3</x:v>
      </x:c>
      <x:c r="F49" s="58" t="n">
        <x:v>1.32</x:v>
      </x:c>
      <x:c r="G49" s="58" t="n">
        <x:v>1.36</x:v>
      </x:c>
      <x:c r="H49" s="62" t="n">
        <x:v>1.42</x:v>
      </x:c>
      <x:c r="I49" s="62" t="n">
        <x:v>1.5</x:v>
      </x:c>
      <x:c r="J49" s="62" t="n">
        <x:v>1.6</x:v>
      </x:c>
      <x:c r="K49" s="11" t="str"/>
    </x:row>
    <x:row r="50" ht="24" customHeight="1">
      <x:c r="A50" s="20" t="str">
        <x:v>[E3-4]</x:v>
      </x:c>
      <x:c r="B50" s="20" t="str">
        <x:v>E3｜六翼闭合</x:v>
      </x:c>
      <x:c r="C50" s="20" t="str">
        <x:v>强化普攻次数</x:v>
      </x:c>
      <x:c r="D50" s="20" t="str">
        <x:v>次</x:v>
      </x:c>
      <x:c r="E50" s="56" t="n">
        <x:v>6</x:v>
      </x:c>
      <x:c r="F50" s="56" t="n">
        <x:v>6</x:v>
      </x:c>
      <x:c r="G50" s="56" t="n">
        <x:v>6</x:v>
      </x:c>
      <x:c r="H50" s="56" t="n">
        <x:v>6</x:v>
      </x:c>
      <x:c r="I50" s="56" t="n">
        <x:v>6</x:v>
      </x:c>
      <x:c r="J50" s="56" t="n">
        <x:v>6</x:v>
      </x:c>
      <x:c r="K50" s="11" t="str">
        <x:v>固定参数；不随技能等级变化</x:v>
      </x:c>
    </x:row>
    <x:row r="51" ht="24" customHeight="1">
      <x:c r="A51" s="20" t="str">
        <x:v>[E3-5]</x:v>
      </x:c>
      <x:c r="B51" s="20" t="str">
        <x:v>E3｜六翼闭合</x:v>
      </x:c>
      <x:c r="C51" s="20" t="str">
        <x:v>强化普攻攻速加成</x:v>
      </x:c>
      <x:c r="D51" s="20" t="str">
        <x:v>%</x:v>
      </x:c>
      <x:c r="E51" s="56" t="n">
        <x:v>25</x:v>
      </x:c>
      <x:c r="F51" s="56" t="n">
        <x:v>29</x:v>
      </x:c>
      <x:c r="G51" s="56" t="n">
        <x:v>34</x:v>
      </x:c>
      <x:c r="H51" s="60" t="n">
        <x:v>43</x:v>
      </x:c>
      <x:c r="I51" s="60" t="n">
        <x:v>55</x:v>
      </x:c>
      <x:c r="J51" s="60" t="n">
        <x:v>70</x:v>
      </x:c>
      <x:c r="K51" s="11" t="str"/>
    </x:row>
    <x:row r="52" ht="24" customHeight="1">
      <x:c r="A52" s="20" t="str">
        <x:v>[E3-6]</x:v>
      </x:c>
      <x:c r="B52" s="20" t="str">
        <x:v>E3｜六翼闭合</x:v>
      </x:c>
      <x:c r="C52" s="20" t="str">
        <x:v>基础冷却</x:v>
      </x:c>
      <x:c r="D52" s="20" t="str">
        <x:v>秒</x:v>
      </x:c>
      <x:c r="E52" s="58" t="n">
        <x:v>18</x:v>
      </x:c>
      <x:c r="F52" s="58" t="n">
        <x:v>17.64</x:v>
      </x:c>
      <x:c r="G52" s="58" t="n">
        <x:v>17.1</x:v>
      </x:c>
      <x:c r="H52" s="62" t="n">
        <x:v>16.2</x:v>
      </x:c>
      <x:c r="I52" s="62" t="n">
        <x:v>14.98</x:v>
      </x:c>
      <x:c r="J52" s="62" t="n">
        <x:v>13.5</x:v>
      </x:c>
      <x:c r="K52" s="11" t="str"/>
    </x:row>
    <x:row r="53" ht="24" customHeight="1">
      <x:c r="A53" s="30" t="str">
        <x:v>[P1-1]</x:v>
      </x:c>
      <x:c r="B53" s="30" t="str">
        <x:v>P1｜终端校准</x:v>
      </x:c>
      <x:c r="C53" s="30" t="str">
        <x:v>每次普攻标记层数</x:v>
      </x:c>
      <x:c r="D53" s="30" t="str">
        <x:v>层</x:v>
      </x:c>
      <x:c r="E53" s="56" t="n">
        <x:v>1</x:v>
      </x:c>
      <x:c r="F53" s="56" t="n">
        <x:v>1</x:v>
      </x:c>
      <x:c r="G53" s="56" t="n">
        <x:v>1</x:v>
      </x:c>
      <x:c r="H53" s="56" t="n">
        <x:v>1</x:v>
      </x:c>
      <x:c r="I53" s="34"/>
      <x:c r="J53" s="34"/>
      <x:c r="K53" s="11" t="str">
        <x:v>固定参数；不随技能等级变化</x:v>
      </x:c>
    </x:row>
    <x:row r="54" ht="24" customHeight="1">
      <x:c r="A54" s="20" t="str">
        <x:v>[P1-2]</x:v>
      </x:c>
      <x:c r="B54" s="20" t="str">
        <x:v>P1｜终端校准</x:v>
      </x:c>
      <x:c r="C54" s="20" t="str">
        <x:v>标记上限</x:v>
      </x:c>
      <x:c r="D54" s="20" t="str">
        <x:v>层</x:v>
      </x:c>
      <x:c r="E54" s="56" t="n">
        <x:v>3</x:v>
      </x:c>
      <x:c r="F54" s="56" t="n">
        <x:v>3</x:v>
      </x:c>
      <x:c r="G54" s="56" t="n">
        <x:v>3</x:v>
      </x:c>
      <x:c r="H54" s="56" t="n">
        <x:v>3</x:v>
      </x:c>
      <x:c r="I54" s="34"/>
      <x:c r="J54" s="34"/>
      <x:c r="K54" s="11" t="str">
        <x:v>固定参数；不随技能等级变化</x:v>
      </x:c>
    </x:row>
    <x:row r="55" ht="24" customHeight="1">
      <x:c r="A55" s="20" t="str">
        <x:v>[P1-3]</x:v>
      </x:c>
      <x:c r="B55" s="20" t="str">
        <x:v>P1｜终端校准</x:v>
      </x:c>
      <x:c r="C55" s="20" t="str">
        <x:v>标记持续</x:v>
      </x:c>
      <x:c r="D55" s="20" t="str">
        <x:v>秒</x:v>
      </x:c>
      <x:c r="E55" s="56" t="n">
        <x:v>5</x:v>
      </x:c>
      <x:c r="F55" s="56" t="n">
        <x:v>5</x:v>
      </x:c>
      <x:c r="G55" s="56" t="n">
        <x:v>5</x:v>
      </x:c>
      <x:c r="H55" s="56" t="n">
        <x:v>5</x:v>
      </x:c>
      <x:c r="I55" s="34"/>
      <x:c r="J55" s="34"/>
      <x:c r="K55" s="11" t="str">
        <x:v>固定参数；不随技能等级变化</x:v>
      </x:c>
    </x:row>
    <x:row r="56" ht="48" customHeight="1">
      <x:c r="A56" s="20" t="str">
        <x:v>[P1-4]</x:v>
      </x:c>
      <x:c r="B56" s="20" t="str">
        <x:v>P1｜终端校准</x:v>
      </x:c>
      <x:c r="C56" s="20" t="str">
        <x:v>满层最终增伤</x:v>
      </x:c>
      <x:c r="D56" s="20" t="str">
        <x:v>%</x:v>
      </x:c>
      <x:c r="E56" s="56" t="n">
        <x:v>20</x:v>
      </x:c>
      <x:c r="F56" s="56" t="n">
        <x:v>30</x:v>
      </x:c>
      <x:c r="G56" s="60" t="n">
        <x:v>50</x:v>
      </x:c>
      <x:c r="H56" s="60" t="n">
        <x:v>85</x:v>
      </x:c>
      <x:c r="I56" s="34"/>
      <x:c r="J56" s="34"/>
      <x:c r="K56" s="11" t="str">
        <x:v>仅满层生效；不按层数再次乘3。</x:v>
      </x:c>
    </x:row>
    <x:row r="57" ht="24" customHeight="1">
      <x:c r="A57" s="30" t="str">
        <x:v>[P2-1]</x:v>
      </x:c>
      <x:c r="B57" s="30" t="str">
        <x:v>P2｜游隼协议</x:v>
      </x:c>
      <x:c r="C57" s="30" t="str">
        <x:v>两次普攻间移动要求</x:v>
      </x:c>
      <x:c r="D57" s="30" t="str">
        <x:v>米</x:v>
      </x:c>
      <x:c r="E57" s="58" t="n">
        <x:v>1.3</x:v>
      </x:c>
      <x:c r="F57" s="58" t="n">
        <x:v>1.3</x:v>
      </x:c>
      <x:c r="G57" s="58" t="n">
        <x:v>1.3</x:v>
      </x:c>
      <x:c r="H57" s="58" t="n">
        <x:v>1.3</x:v>
      </x:c>
      <x:c r="I57" s="34"/>
      <x:c r="J57" s="34"/>
      <x:c r="K57" s="11" t="str">
        <x:v>固定参数；不随技能等级变化</x:v>
      </x:c>
    </x:row>
    <x:row r="58" ht="24" customHeight="1">
      <x:c r="A58" s="20" t="str">
        <x:v>[P2-2]</x:v>
      </x:c>
      <x:c r="B58" s="20" t="str">
        <x:v>P2｜游隼协议</x:v>
      </x:c>
      <x:c r="C58" s="20" t="str">
        <x:v>攻击距离提高</x:v>
      </x:c>
      <x:c r="D58" s="20" t="str">
        <x:v>%</x:v>
      </x:c>
      <x:c r="E58" s="56" t="n">
        <x:v>10</x:v>
      </x:c>
      <x:c r="F58" s="56" t="n">
        <x:v>13</x:v>
      </x:c>
      <x:c r="G58" s="60" t="n">
        <x:v>20</x:v>
      </x:c>
      <x:c r="H58" s="60" t="n">
        <x:v>32</x:v>
      </x:c>
      <x:c r="I58" s="34"/>
      <x:c r="J58" s="34"/>
      <x:c r="K58" s="11" t="str"/>
    </x:row>
    <x:row r="59" ht="24" customHeight="1">
      <x:c r="A59" s="20" t="str">
        <x:v>[P2-3]</x:v>
      </x:c>
      <x:c r="B59" s="20" t="str">
        <x:v>P2｜游隼协议</x:v>
      </x:c>
      <x:c r="C59" s="20" t="str">
        <x:v>追加固定伤害</x:v>
      </x:c>
      <x:c r="D59" s="20" t="str">
        <x:v>点</x:v>
      </x:c>
      <x:c r="E59" s="56" t="n">
        <x:v>15</x:v>
      </x:c>
      <x:c r="F59" s="56" t="n">
        <x:v>25</x:v>
      </x:c>
      <x:c r="G59" s="60" t="n">
        <x:v>48</x:v>
      </x:c>
      <x:c r="H59" s="60" t="n">
        <x:v>90</x:v>
      </x:c>
      <x:c r="I59" s="34"/>
      <x:c r="J59" s="34"/>
      <x:c r="K59" s="11" t="str"/>
    </x:row>
    <x:row r="60" ht="24" customHeight="1">
      <x:c r="A60" s="20" t="str">
        <x:v>[P2-4]</x:v>
      </x:c>
      <x:c r="B60" s="20" t="str">
        <x:v>P2｜游隼协议</x:v>
      </x:c>
      <x:c r="C60" s="20" t="str">
        <x:v>追加AD系数</x:v>
      </x:c>
      <x:c r="D60" s="20" t="str">
        <x:v>%AD</x:v>
      </x:c>
      <x:c r="E60" s="56" t="n">
        <x:v>15</x:v>
      </x:c>
      <x:c r="F60" s="56" t="n">
        <x:v>20</x:v>
      </x:c>
      <x:c r="G60" s="60" t="n">
        <x:v>32</x:v>
      </x:c>
      <x:c r="H60" s="60" t="n">
        <x:v>52</x:v>
      </x:c>
      <x:c r="I60" s="34"/>
      <x:c r="J60" s="34"/>
      <x:c r="K60" s="11" t="str"/>
    </x:row>
    <x:row r="61" ht="24" customHeight="1">
      <x:c r="A61" s="30" t="str">
        <x:v>[P3-1]</x:v>
      </x:c>
      <x:c r="B61" s="30" t="str">
        <x:v>P3｜群猎协议</x:v>
      </x:c>
      <x:c r="C61" s="30" t="str">
        <x:v>攻击范围内敌人数要求</x:v>
      </x:c>
      <x:c r="D61" s="30" t="str">
        <x:v>名</x:v>
      </x:c>
      <x:c r="E61" s="56" t="n">
        <x:v>2</x:v>
      </x:c>
      <x:c r="F61" s="56" t="n">
        <x:v>2</x:v>
      </x:c>
      <x:c r="G61" s="56" t="n">
        <x:v>2</x:v>
      </x:c>
      <x:c r="H61" s="56" t="n">
        <x:v>2</x:v>
      </x:c>
      <x:c r="I61" s="34"/>
      <x:c r="J61" s="34"/>
      <x:c r="K61" s="11" t="str">
        <x:v>固定参数；不随技能等级变化</x:v>
      </x:c>
    </x:row>
    <x:row r="62" ht="24" customHeight="1">
      <x:c r="A62" s="20" t="str">
        <x:v>[P3-2]</x:v>
      </x:c>
      <x:c r="B62" s="20" t="str">
        <x:v>P3｜群猎协议</x:v>
      </x:c>
      <x:c r="C62" s="20" t="str">
        <x:v>辅助光针AD系数</x:v>
      </x:c>
      <x:c r="D62" s="20" t="str">
        <x:v>%AD</x:v>
      </x:c>
      <x:c r="E62" s="56" t="n">
        <x:v>25</x:v>
      </x:c>
      <x:c r="F62" s="56" t="n">
        <x:v>35</x:v>
      </x:c>
      <x:c r="G62" s="60" t="n">
        <x:v>55</x:v>
      </x:c>
      <x:c r="H62" s="60" t="n">
        <x:v>85</x:v>
      </x:c>
      <x:c r="I62" s="34"/>
      <x:c r="J62" s="34"/>
      <x:c r="K62" s="11" t="str"/>
    </x:row>
    <x:row r="63" ht="24" customHeight="1">
      <x:c r="A63" s="30" t="str">
        <x:v>[R1-1]</x:v>
      </x:c>
      <x:c r="B63" s="30" t="str">
        <x:v>R1｜六翼解封</x:v>
      </x:c>
      <x:c r="C63" s="30" t="str">
        <x:v>解封持续</x:v>
      </x:c>
      <x:c r="D63" s="30" t="str">
        <x:v>秒</x:v>
      </x:c>
      <x:c r="E63" s="58" t="n">
        <x:v>8</x:v>
      </x:c>
      <x:c r="F63" s="58" t="n">
        <x:v>8.8</x:v>
      </x:c>
      <x:c r="G63" s="62" t="n">
        <x:v>10.5</x:v>
      </x:c>
      <x:c r="H63" s="62" t="n">
        <x:v>13</x:v>
      </x:c>
      <x:c r="I63" s="34"/>
      <x:c r="J63" s="34"/>
      <x:c r="K63" s="11" t="str"/>
    </x:row>
    <x:row r="64" ht="24" customHeight="1">
      <x:c r="A64" s="20" t="str">
        <x:v>[R1-2]</x:v>
      </x:c>
      <x:c r="B64" s="20" t="str">
        <x:v>R1｜六翼解封</x:v>
      </x:c>
      <x:c r="C64" s="20" t="str">
        <x:v>每组光针数量</x:v>
      </x:c>
      <x:c r="D64" s="20" t="str">
        <x:v>点</x:v>
      </x:c>
      <x:c r="E64" s="56" t="n">
        <x:v>6</x:v>
      </x:c>
      <x:c r="F64" s="56" t="n">
        <x:v>6</x:v>
      </x:c>
      <x:c r="G64" s="56" t="n">
        <x:v>6</x:v>
      </x:c>
      <x:c r="H64" s="56" t="n">
        <x:v>6</x:v>
      </x:c>
      <x:c r="I64" s="34"/>
      <x:c r="J64" s="34"/>
      <x:c r="K64" s="11" t="str">
        <x:v>固定参数；不随技能等级变化</x:v>
      </x:c>
    </x:row>
    <x:row r="65" ht="24" customHeight="1">
      <x:c r="A65" s="20" t="str">
        <x:v>[R1-3]</x:v>
      </x:c>
      <x:c r="B65" s="20" t="str">
        <x:v>R1｜六翼解封</x:v>
      </x:c>
      <x:c r="C65" s="20" t="str">
        <x:v>整组AD系数</x:v>
      </x:c>
      <x:c r="D65" s="20" t="str">
        <x:v>%AD</x:v>
      </x:c>
      <x:c r="E65" s="56" t="n">
        <x:v>175</x:v>
      </x:c>
      <x:c r="F65" s="56" t="n">
        <x:v>195</x:v>
      </x:c>
      <x:c r="G65" s="60" t="n">
        <x:v>240</x:v>
      </x:c>
      <x:c r="H65" s="60" t="n">
        <x:v>310</x:v>
      </x:c>
      <x:c r="I65" s="34"/>
      <x:c r="J65" s="34"/>
      <x:c r="K65" s="11" t="str"/>
    </x:row>
    <x:row r="66" ht="24" customHeight="1">
      <x:c r="A66" s="20" t="str">
        <x:v>[R1-4]</x:v>
      </x:c>
      <x:c r="B66" s="20" t="str">
        <x:v>R1｜六翼解封</x:v>
      </x:c>
      <x:c r="C66" s="20" t="str">
        <x:v>攻速加成</x:v>
      </x:c>
      <x:c r="D66" s="20" t="str">
        <x:v>%</x:v>
      </x:c>
      <x:c r="E66" s="56" t="n">
        <x:v>50</x:v>
      </x:c>
      <x:c r="F66" s="56" t="n">
        <x:v>58</x:v>
      </x:c>
      <x:c r="G66" s="60" t="n">
        <x:v>75</x:v>
      </x:c>
      <x:c r="H66" s="60" t="n">
        <x:v>100</x:v>
      </x:c>
      <x:c r="I66" s="34"/>
      <x:c r="J66" s="34"/>
      <x:c r="K66" s="11" t="str"/>
    </x:row>
    <x:row r="67" ht="24" customHeight="1">
      <x:c r="A67" s="20" t="str">
        <x:v>[R1-5]</x:v>
      </x:c>
      <x:c r="B67" s="20" t="str">
        <x:v>R1｜六翼解封</x:v>
      </x:c>
      <x:c r="C67" s="20" t="str">
        <x:v>专属攻速上限</x:v>
      </x:c>
      <x:c r="D67" s="20" t="str">
        <x:v>次/秒</x:v>
      </x:c>
      <x:c r="E67" s="58" t="n">
        <x:v>3.25</x:v>
      </x:c>
      <x:c r="F67" s="58" t="n">
        <x:v>3.3</x:v>
      </x:c>
      <x:c r="G67" s="62" t="n">
        <x:v>3.4</x:v>
      </x:c>
      <x:c r="H67" s="62" t="n">
        <x:v>3.6</x:v>
      </x:c>
      <x:c r="I67" s="34"/>
      <x:c r="J67" s="34"/>
      <x:c r="K67" s="11" t="str"/>
    </x:row>
    <x:row r="68" ht="24" customHeight="1">
      <x:c r="A68" s="20" t="str">
        <x:v>[R1-6]</x:v>
      </x:c>
      <x:c r="B68" s="20" t="str">
        <x:v>R1｜六翼解封</x:v>
      </x:c>
      <x:c r="C68" s="20" t="str">
        <x:v>射程加成</x:v>
      </x:c>
      <x:c r="D68" s="20" t="str">
        <x:v>%</x:v>
      </x:c>
      <x:c r="E68" s="56" t="n">
        <x:v>25</x:v>
      </x:c>
      <x:c r="F68" s="56" t="n">
        <x:v>28</x:v>
      </x:c>
      <x:c r="G68" s="60" t="n">
        <x:v>36</x:v>
      </x:c>
      <x:c r="H68" s="60" t="n">
        <x:v>50</x:v>
      </x:c>
      <x:c r="I68" s="34"/>
      <x:c r="J68" s="34"/>
      <x:c r="K68" s="11" t="str"/>
    </x:row>
    <x:row r="69" ht="24" customHeight="1">
      <x:c r="A69" s="20" t="str">
        <x:v>[R1-7]</x:v>
      </x:c>
      <x:c r="B69" s="20" t="str">
        <x:v>R1｜六翼解封</x:v>
      </x:c>
      <x:c r="C69" s="20" t="str">
        <x:v>移速加成</x:v>
      </x:c>
      <x:c r="D69" s="20" t="str">
        <x:v>%</x:v>
      </x:c>
      <x:c r="E69" s="56" t="n">
        <x:v>20</x:v>
      </x:c>
      <x:c r="F69" s="56" t="n">
        <x:v>23</x:v>
      </x:c>
      <x:c r="G69" s="60" t="n">
        <x:v>30</x:v>
      </x:c>
      <x:c r="H69" s="60" t="n">
        <x:v>42</x:v>
      </x:c>
      <x:c r="I69" s="34"/>
      <x:c r="J69" s="34"/>
      <x:c r="K69" s="11" t="str"/>
    </x:row>
    <x:row r="70" ht="24" customHeight="1">
      <x:c r="A70" s="20" t="str">
        <x:v>[R1-8]</x:v>
      </x:c>
      <x:c r="B70" s="20" t="str">
        <x:v>R1｜六翼解封</x:v>
      </x:c>
      <x:c r="C70" s="20" t="str">
        <x:v>基础冷却</x:v>
      </x:c>
      <x:c r="D70" s="20" t="str">
        <x:v>秒</x:v>
      </x:c>
      <x:c r="E70" s="56" t="n">
        <x:v>135</x:v>
      </x:c>
      <x:c r="F70" s="56" t="n">
        <x:v>127</x:v>
      </x:c>
      <x:c r="G70" s="60" t="n">
        <x:v>114</x:v>
      </x:c>
      <x:c r="H70" s="60" t="n">
        <x:v>97</x:v>
      </x:c>
      <x:c r="I70" s="34"/>
      <x:c r="J70" s="34"/>
      <x:c r="K70" s="11" t="str"/>
    </x:row>
    <x:row r="71" ht="24" customHeight="1">
      <x:c r="A71" s="30" t="str">
        <x:v>[R2-1]</x:v>
      </x:c>
      <x:c r="B71" s="30" t="str">
        <x:v>R2｜天矛协议·六翼坠射</x:v>
      </x:c>
      <x:c r="C71" s="30" t="str">
        <x:v>天矛发射窗口</x:v>
      </x:c>
      <x:c r="D71" s="30" t="str">
        <x:v>秒</x:v>
      </x:c>
      <x:c r="E71" s="56" t="n">
        <x:v>10</x:v>
      </x:c>
      <x:c r="F71" s="56" t="n">
        <x:v>10</x:v>
      </x:c>
      <x:c r="G71" s="56" t="n">
        <x:v>10</x:v>
      </x:c>
      <x:c r="H71" s="56" t="n">
        <x:v>10</x:v>
      </x:c>
      <x:c r="I71" s="34"/>
      <x:c r="J71" s="34"/>
      <x:c r="K71" s="11" t="str">
        <x:v>固定参数；不随技能等级变化</x:v>
      </x:c>
    </x:row>
    <x:row r="72" ht="24" customHeight="1">
      <x:c r="A72" s="20" t="str">
        <x:v>[R2-2]</x:v>
      </x:c>
      <x:c r="B72" s="20" t="str">
        <x:v>R2｜天矛协议·六翼坠射</x:v>
      </x:c>
      <x:c r="C72" s="20" t="str">
        <x:v>天矛数量</x:v>
      </x:c>
      <x:c r="D72" s="20" t="str">
        <x:v>点</x:v>
      </x:c>
      <x:c r="E72" s="56" t="n">
        <x:v>6</x:v>
      </x:c>
      <x:c r="F72" s="56" t="n">
        <x:v>6</x:v>
      </x:c>
      <x:c r="G72" s="56" t="n">
        <x:v>6</x:v>
      </x:c>
      <x:c r="H72" s="56" t="n">
        <x:v>6</x:v>
      </x:c>
      <x:c r="I72" s="34"/>
      <x:c r="J72" s="34"/>
      <x:c r="K72" s="11" t="str">
        <x:v>固定参数；不随技能等级变化</x:v>
      </x:c>
    </x:row>
    <x:row r="73" ht="24" customHeight="1">
      <x:c r="A73" s="20" t="str">
        <x:v>[R2-3]</x:v>
      </x:c>
      <x:c r="B73" s="20" t="str">
        <x:v>R2｜天矛协议·六翼坠射</x:v>
      </x:c>
      <x:c r="C73" s="20" t="str">
        <x:v>天矛长度</x:v>
      </x:c>
      <x:c r="D73" s="20" t="str">
        <x:v>米</x:v>
      </x:c>
      <x:c r="E73" s="56" t="n">
        <x:v>32</x:v>
      </x:c>
      <x:c r="F73" s="56" t="n">
        <x:v>32</x:v>
      </x:c>
      <x:c r="G73" s="56" t="n">
        <x:v>32</x:v>
      </x:c>
      <x:c r="H73" s="56" t="n">
        <x:v>32</x:v>
      </x:c>
      <x:c r="I73" s="34"/>
      <x:c r="J73" s="34"/>
      <x:c r="K73" s="11" t="str">
        <x:v>固定参数；不随技能等级变化</x:v>
      </x:c>
    </x:row>
    <x:row r="74" ht="24" customHeight="1">
      <x:c r="A74" s="20" t="str">
        <x:v>[R2-4]</x:v>
      </x:c>
      <x:c r="B74" s="20" t="str">
        <x:v>R2｜天矛协议·六翼坠射</x:v>
      </x:c>
      <x:c r="C74" s="20" t="str">
        <x:v>天矛宽度</x:v>
      </x:c>
      <x:c r="D74" s="20" t="str">
        <x:v>米</x:v>
      </x:c>
      <x:c r="E74" s="58" t="n">
        <x:v>3.2</x:v>
      </x:c>
      <x:c r="F74" s="58" t="n">
        <x:v>3.49</x:v>
      </x:c>
      <x:c r="G74" s="62" t="n">
        <x:v>4</x:v>
      </x:c>
      <x:c r="H74" s="62" t="n">
        <x:v>4.8</x:v>
      </x:c>
      <x:c r="I74" s="34"/>
      <x:c r="J74" s="34"/>
      <x:c r="K74" s="11" t="str"/>
    </x:row>
    <x:row r="75" ht="24" customHeight="1">
      <x:c r="A75" s="20" t="str">
        <x:v>[R2-5]</x:v>
      </x:c>
      <x:c r="B75" s="20" t="str">
        <x:v>R2｜天矛协议·六翼坠射</x:v>
      </x:c>
      <x:c r="C75" s="20" t="str">
        <x:v>单根前摇</x:v>
      </x:c>
      <x:c r="D75" s="20" t="str">
        <x:v>秒</x:v>
      </x:c>
      <x:c r="E75" s="58" t="n">
        <x:v>0.28</x:v>
      </x:c>
      <x:c r="F75" s="58" t="n">
        <x:v>0.28</x:v>
      </x:c>
      <x:c r="G75" s="58" t="n">
        <x:v>0.28</x:v>
      </x:c>
      <x:c r="H75" s="58" t="n">
        <x:v>0.28</x:v>
      </x:c>
      <x:c r="I75" s="34"/>
      <x:c r="J75" s="34"/>
      <x:c r="K75" s="11" t="str">
        <x:v>固定参数；不随技能等级变化</x:v>
      </x:c>
    </x:row>
    <x:row r="76" ht="24" customHeight="1">
      <x:c r="A76" s="20" t="str">
        <x:v>[R2-6]</x:v>
      </x:c>
      <x:c r="B76" s="20" t="str">
        <x:v>R2｜天矛协议·六翼坠射</x:v>
      </x:c>
      <x:c r="C76" s="20" t="str">
        <x:v>单根固定伤害</x:v>
      </x:c>
      <x:c r="D76" s="20" t="str">
        <x:v>点</x:v>
      </x:c>
      <x:c r="E76" s="56" t="n">
        <x:v>120</x:v>
      </x:c>
      <x:c r="F76" s="56" t="n">
        <x:v>160</x:v>
      </x:c>
      <x:c r="G76" s="60" t="n">
        <x:v>265</x:v>
      </x:c>
      <x:c r="H76" s="60" t="n">
        <x:v>440</x:v>
      </x:c>
      <x:c r="I76" s="34"/>
      <x:c r="J76" s="34"/>
      <x:c r="K76" s="11" t="str"/>
    </x:row>
    <x:row r="77" ht="24" customHeight="1">
      <x:c r="A77" s="20" t="str">
        <x:v>[R2-7]</x:v>
      </x:c>
      <x:c r="B77" s="20" t="str">
        <x:v>R2｜天矛协议·六翼坠射</x:v>
      </x:c>
      <x:c r="C77" s="20" t="str">
        <x:v>单根AD系数</x:v>
      </x:c>
      <x:c r="D77" s="20" t="str">
        <x:v>%AD</x:v>
      </x:c>
      <x:c r="E77" s="56" t="n">
        <x:v>180</x:v>
      </x:c>
      <x:c r="F77" s="56" t="n">
        <x:v>195</x:v>
      </x:c>
      <x:c r="G77" s="60" t="n">
        <x:v>235</x:v>
      </x:c>
      <x:c r="H77" s="60" t="n">
        <x:v>305</x:v>
      </x:c>
      <x:c r="I77" s="34"/>
      <x:c r="J77" s="34"/>
      <x:c r="K77" s="11" t="str"/>
    </x:row>
    <x:row r="78" ht="24" customHeight="1">
      <x:c r="A78" s="20" t="str">
        <x:v>[R2-8]</x:v>
      </x:c>
      <x:c r="B78" s="20" t="str">
        <x:v>R2｜天矛协议·六翼坠射</x:v>
      </x:c>
      <x:c r="C78" s="20" t="str">
        <x:v>目标最大生命伤害比例</x:v>
      </x:c>
      <x:c r="D78" s="20" t="str">
        <x:v>%</x:v>
      </x:c>
      <x:c r="E78" s="58" t="n">
        <x:v>1.25</x:v>
      </x:c>
      <x:c r="F78" s="58" t="n">
        <x:v>1.4</x:v>
      </x:c>
      <x:c r="G78" s="62" t="n">
        <x:v>1.7</x:v>
      </x:c>
      <x:c r="H78" s="62" t="n">
        <x:v>2.2</x:v>
      </x:c>
      <x:c r="I78" s="34"/>
      <x:c r="J78" s="34"/>
      <x:c r="K78" s="11" t="str"/>
    </x:row>
    <x:row r="79" ht="24" customHeight="1">
      <x:c r="A79" s="20" t="str">
        <x:v>[R2-9]</x:v>
      </x:c>
      <x:c r="B79" s="20" t="str">
        <x:v>R2｜天矛协议·六翼坠射</x:v>
      </x:c>
      <x:c r="C79" s="20" t="str">
        <x:v>基础冷却</x:v>
      </x:c>
      <x:c r="D79" s="20" t="str">
        <x:v>秒</x:v>
      </x:c>
      <x:c r="E79" s="56" t="n">
        <x:v>145</x:v>
      </x:c>
      <x:c r="F79" s="56" t="n">
        <x:v>137</x:v>
      </x:c>
      <x:c r="G79" s="60" t="n">
        <x:v>124</x:v>
      </x:c>
      <x:c r="H79" s="60" t="n">
        <x:v>107</x:v>
      </x:c>
      <x:c r="I79" s="34"/>
      <x:c r="J79" s="34"/>
      <x:c r="K79" s="11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31c1120935c475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27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37" hidden="0" customWidth="1"/>
  </x:cols>
  <x:sheetData>
    <x:row r="1" ht="36" customHeight="1">
      <x:c r="A1" s="7" t="str">
        <x:v>玄垒｜技能数值 v0.3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30" customHeight="1">
      <x:c r="A2" s="11" t="str">
        <x:v>Q/E：6档；被动/R：4档。蓝字可编辑；浅黄列为后段成长。百分比栏填100表示100%。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 ht="24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8" customHeight="1">
      <x:c r="A4" s="16" t="str">
        <x:v>占位编号</x:v>
      </x:c>
      <x:c r="B4" s="16" t="str">
        <x:v>技能</x:v>
      </x:c>
      <x:c r="C4" s="16" t="str">
        <x:v>数值项</x:v>
      </x:c>
      <x:c r="D4" s="16" t="str">
        <x:v>单位</x:v>
      </x:c>
      <x:c r="E4" s="16" t="str">
        <x:v>Lv1</x:v>
      </x:c>
      <x:c r="F4" s="16" t="str">
        <x:v>Lv2</x:v>
      </x:c>
      <x:c r="G4" s="16" t="str">
        <x:v>Lv3</x:v>
      </x:c>
      <x:c r="H4" s="16" t="str">
        <x:v>Lv4</x:v>
      </x:c>
      <x:c r="I4" s="16" t="str">
        <x:v>Lv5</x:v>
      </x:c>
      <x:c r="J4" s="16" t="str">
        <x:v>Lv6</x:v>
      </x:c>
      <x:c r="K4" s="16" t="str">
        <x:v>备注</x:v>
      </x:c>
    </x:row>
    <x:row r="5" ht="24" customHeight="1">
      <x:c r="A5" s="30" t="str">
        <x:v>[Q1-1]</x:v>
      </x:c>
      <x:c r="B5" s="30" t="str">
        <x:v>Q1｜摧城</x:v>
      </x:c>
      <x:c r="C5" s="30" t="str">
        <x:v>向前踏步距离</x:v>
      </x:c>
      <x:c r="D5" s="30" t="str">
        <x:v>米</x:v>
      </x:c>
      <x:c r="E5" s="58" t="n">
        <x:v>0.65</x:v>
      </x:c>
      <x:c r="F5" s="58" t="n">
        <x:v>0.65</x:v>
      </x:c>
      <x:c r="G5" s="58" t="n">
        <x:v>0.65</x:v>
      </x:c>
      <x:c r="H5" s="58" t="n">
        <x:v>0.65</x:v>
      </x:c>
      <x:c r="I5" s="58" t="n">
        <x:v>0.65</x:v>
      </x:c>
      <x:c r="J5" s="58" t="n">
        <x:v>0.65</x:v>
      </x:c>
      <x:c r="K5" s="11" t="str">
        <x:v>固定参数；不随技能等级变化</x:v>
      </x:c>
    </x:row>
    <x:row r="6" ht="24" customHeight="1">
      <x:c r="A6" s="20" t="str">
        <x:v>[Q1-2]</x:v>
      </x:c>
      <x:c r="B6" s="20" t="str">
        <x:v>Q1｜摧城</x:v>
      </x:c>
      <x:c r="C6" s="20" t="str">
        <x:v>扇形半径</x:v>
      </x:c>
      <x:c r="D6" s="20" t="str">
        <x:v>米</x:v>
      </x:c>
      <x:c r="E6" s="58" t="n">
        <x:v>3.5</x:v>
      </x:c>
      <x:c r="F6" s="58" t="n">
        <x:v>3.58</x:v>
      </x:c>
      <x:c r="G6" s="58" t="n">
        <x:v>3.7</x:v>
      </x:c>
      <x:c r="H6" s="62" t="n">
        <x:v>3.9</x:v>
      </x:c>
      <x:c r="I6" s="62" t="n">
        <x:v>4.17</x:v>
      </x:c>
      <x:c r="J6" s="62" t="n">
        <x:v>4.5</x:v>
      </x:c>
      <x:c r="K6" s="11" t="str"/>
    </x:row>
    <x:row r="7" ht="24" customHeight="1">
      <x:c r="A7" s="20" t="str">
        <x:v>[Q1-3]</x:v>
      </x:c>
      <x:c r="B7" s="20" t="str">
        <x:v>Q1｜摧城</x:v>
      </x:c>
      <x:c r="C7" s="20" t="str">
        <x:v>扇形夹角</x:v>
      </x:c>
      <x:c r="D7" s="20" t="str">
        <x:v>度</x:v>
      </x:c>
      <x:c r="E7" s="56" t="n">
        <x:v>110</x:v>
      </x:c>
      <x:c r="F7" s="56" t="n">
        <x:v>110</x:v>
      </x:c>
      <x:c r="G7" s="56" t="n">
        <x:v>110</x:v>
      </x:c>
      <x:c r="H7" s="56" t="n">
        <x:v>110</x:v>
      </x:c>
      <x:c r="I7" s="56" t="n">
        <x:v>110</x:v>
      </x:c>
      <x:c r="J7" s="56" t="n">
        <x:v>110</x:v>
      </x:c>
      <x:c r="K7" s="11" t="str">
        <x:v>固定参数；不随技能等级变化</x:v>
      </x:c>
    </x:row>
    <x:row r="8" ht="24" customHeight="1">
      <x:c r="A8" s="20" t="str">
        <x:v>[Q1-4]</x:v>
      </x:c>
      <x:c r="B8" s="20" t="str">
        <x:v>Q1｜摧城</x:v>
      </x:c>
      <x:c r="C8" s="20" t="str">
        <x:v>固定伤害</x:v>
      </x:c>
      <x:c r="D8" s="20" t="str">
        <x:v>点</x:v>
      </x:c>
      <x:c r="E8" s="56" t="n">
        <x:v>45</x:v>
      </x:c>
      <x:c r="F8" s="56" t="n">
        <x:v>59</x:v>
      </x:c>
      <x:c r="G8" s="56" t="n">
        <x:v>80</x:v>
      </x:c>
      <x:c r="H8" s="60" t="n">
        <x:v>115</x:v>
      </x:c>
      <x:c r="I8" s="60" t="n">
        <x:v>162</x:v>
      </x:c>
      <x:c r="J8" s="60" t="n">
        <x:v>220</x:v>
      </x:c>
      <x:c r="K8" s="11" t="str"/>
    </x:row>
    <x:row r="9" ht="24" customHeight="1">
      <x:c r="A9" s="20" t="str">
        <x:v>[Q1-5]</x:v>
      </x:c>
      <x:c r="B9" s="20" t="str">
        <x:v>Q1｜摧城</x:v>
      </x:c>
      <x:c r="C9" s="20" t="str">
        <x:v>AD系数</x:v>
      </x:c>
      <x:c r="D9" s="20" t="str">
        <x:v>%AD</x:v>
      </x:c>
      <x:c r="E9" s="56" t="n">
        <x:v>90</x:v>
      </x:c>
      <x:c r="F9" s="56" t="n">
        <x:v>94</x:v>
      </x:c>
      <x:c r="G9" s="56" t="n">
        <x:v>101</x:v>
      </x:c>
      <x:c r="H9" s="60" t="n">
        <x:v>112</x:v>
      </x:c>
      <x:c r="I9" s="60" t="n">
        <x:v>127</x:v>
      </x:c>
      <x:c r="J9" s="60" t="n">
        <x:v>145</x:v>
      </x:c>
      <x:c r="K9" s="11" t="str"/>
    </x:row>
    <x:row r="10" ht="24" customHeight="1">
      <x:c r="A10" s="20" t="str">
        <x:v>[Q1-6]</x:v>
      </x:c>
      <x:c r="B10" s="20" t="str">
        <x:v>Q1｜摧城</x:v>
      </x:c>
      <x:c r="C10" s="20" t="str">
        <x:v>自身最大生命伤害比例</x:v>
      </x:c>
      <x:c r="D10" s="20" t="str">
        <x:v>%</x:v>
      </x:c>
      <x:c r="E10" s="58" t="n">
        <x:v>2.5</x:v>
      </x:c>
      <x:c r="F10" s="58" t="n">
        <x:v>2.74</x:v>
      </x:c>
      <x:c r="G10" s="58" t="n">
        <x:v>3.1</x:v>
      </x:c>
      <x:c r="H10" s="62" t="n">
        <x:v>3.7</x:v>
      </x:c>
      <x:c r="I10" s="62" t="n">
        <x:v>4.51</x:v>
      </x:c>
      <x:c r="J10" s="62" t="n">
        <x:v>5.5</x:v>
      </x:c>
      <x:c r="K10" s="11" t="str"/>
    </x:row>
    <x:row r="11" ht="24" customHeight="1">
      <x:c r="A11" s="20" t="str">
        <x:v>[Q1-7]</x:v>
      </x:c>
      <x:c r="B11" s="20" t="str">
        <x:v>Q1｜摧城</x:v>
      </x:c>
      <x:c r="C11" s="20" t="str">
        <x:v>中心夹角</x:v>
      </x:c>
      <x:c r="D11" s="20" t="str">
        <x:v>度</x:v>
      </x:c>
      <x:c r="E11" s="56" t="n">
        <x:v>35</x:v>
      </x:c>
      <x:c r="F11" s="56" t="n">
        <x:v>35</x:v>
      </x:c>
      <x:c r="G11" s="56" t="n">
        <x:v>35</x:v>
      </x:c>
      <x:c r="H11" s="56" t="n">
        <x:v>35</x:v>
      </x:c>
      <x:c r="I11" s="56" t="n">
        <x:v>35</x:v>
      </x:c>
      <x:c r="J11" s="56" t="n">
        <x:v>35</x:v>
      </x:c>
      <x:c r="K11" s="11" t="str">
        <x:v>固定参数；不随技能等级变化</x:v>
      </x:c>
    </x:row>
    <x:row r="12" ht="24" customHeight="1">
      <x:c r="A12" s="20" t="str">
        <x:v>[Q1-8]</x:v>
      </x:c>
      <x:c r="B12" s="20" t="str">
        <x:v>Q1｜摧城</x:v>
      </x:c>
      <x:c r="C12" s="20" t="str">
        <x:v>中心硬直</x:v>
      </x:c>
      <x:c r="D12" s="20" t="str">
        <x:v>秒</x:v>
      </x:c>
      <x:c r="E12" s="58" t="n">
        <x:v>0.3</x:v>
      </x:c>
      <x:c r="F12" s="58" t="n">
        <x:v>0.3</x:v>
      </x:c>
      <x:c r="G12" s="58" t="n">
        <x:v>0.3</x:v>
      </x:c>
      <x:c r="H12" s="58" t="n">
        <x:v>0.3</x:v>
      </x:c>
      <x:c r="I12" s="58" t="n">
        <x:v>0.3</x:v>
      </x:c>
      <x:c r="J12" s="58" t="n">
        <x:v>0.3</x:v>
      </x:c>
      <x:c r="K12" s="11" t="str">
        <x:v>固定参数；不随技能等级变化</x:v>
      </x:c>
    </x:row>
    <x:row r="13" ht="24" customHeight="1">
      <x:c r="A13" s="20" t="str">
        <x:v>[Q1-9]</x:v>
      </x:c>
      <x:c r="B13" s="20" t="str">
        <x:v>Q1｜摧城</x:v>
      </x:c>
      <x:c r="C13" s="20" t="str">
        <x:v>基础冷却</x:v>
      </x:c>
      <x:c r="D13" s="20" t="str">
        <x:v>秒</x:v>
      </x:c>
      <x:c r="E13" s="58" t="n">
        <x:v>7</x:v>
      </x:c>
      <x:c r="F13" s="58" t="n">
        <x:v>6.88</x:v>
      </x:c>
      <x:c r="G13" s="58" t="n">
        <x:v>6.7</x:v>
      </x:c>
      <x:c r="H13" s="62" t="n">
        <x:v>6.4</x:v>
      </x:c>
      <x:c r="I13" s="62" t="n">
        <x:v>6</x:v>
      </x:c>
      <x:c r="J13" s="62" t="n">
        <x:v>5.5</x:v>
      </x:c>
      <x:c r="K13" s="11" t="str"/>
    </x:row>
    <x:row r="14" ht="24" customHeight="1">
      <x:c r="A14" s="30" t="str">
        <x:v>[Q2-1]</x:v>
      </x:c>
      <x:c r="B14" s="30" t="str">
        <x:v>Q2｜锁城索</x:v>
      </x:c>
      <x:c r="C14" s="30" t="str">
        <x:v>群拉半径</x:v>
      </x:c>
      <x:c r="D14" s="30" t="str">
        <x:v>米</x:v>
      </x:c>
      <x:c r="E14" s="58" t="n">
        <x:v>5</x:v>
      </x:c>
      <x:c r="F14" s="58" t="n">
        <x:v>5.12</x:v>
      </x:c>
      <x:c r="G14" s="58" t="n">
        <x:v>5.3</x:v>
      </x:c>
      <x:c r="H14" s="62" t="n">
        <x:v>5.6</x:v>
      </x:c>
      <x:c r="I14" s="62" t="n">
        <x:v>6</x:v>
      </x:c>
      <x:c r="J14" s="62" t="n">
        <x:v>6.5</x:v>
      </x:c>
      <x:c r="K14" s="11" t="str"/>
    </x:row>
    <x:row r="15" ht="24" customHeight="1">
      <x:c r="A15" s="20" t="str">
        <x:v>[Q2-2]</x:v>
      </x:c>
      <x:c r="B15" s="20" t="str">
        <x:v>Q2｜锁城索</x:v>
      </x:c>
      <x:c r="C15" s="20" t="str">
        <x:v>拉至自身距离</x:v>
      </x:c>
      <x:c r="D15" s="20" t="str">
        <x:v>米</x:v>
      </x:c>
      <x:c r="E15" s="58" t="n">
        <x:v>1.8</x:v>
      </x:c>
      <x:c r="F15" s="58" t="n">
        <x:v>1.8</x:v>
      </x:c>
      <x:c r="G15" s="58" t="n">
        <x:v>1.8</x:v>
      </x:c>
      <x:c r="H15" s="58" t="n">
        <x:v>1.8</x:v>
      </x:c>
      <x:c r="I15" s="58" t="n">
        <x:v>1.8</x:v>
      </x:c>
      <x:c r="J15" s="58" t="n">
        <x:v>1.8</x:v>
      </x:c>
      <x:c r="K15" s="11" t="str">
        <x:v>固定参数；不随技能等级变化</x:v>
      </x:c>
    </x:row>
    <x:row r="16" ht="24" customHeight="1">
      <x:c r="A16" s="20" t="str">
        <x:v>[Q2-3]</x:v>
      </x:c>
      <x:c r="B16" s="20" t="str">
        <x:v>Q2｜锁城索</x:v>
      </x:c>
      <x:c r="C16" s="20" t="str">
        <x:v>牵引持续</x:v>
      </x:c>
      <x:c r="D16" s="20" t="str">
        <x:v>秒</x:v>
      </x:c>
      <x:c r="E16" s="58" t="n">
        <x:v>0.4</x:v>
      </x:c>
      <x:c r="F16" s="58" t="n">
        <x:v>0.4</x:v>
      </x:c>
      <x:c r="G16" s="58" t="n">
        <x:v>0.4</x:v>
      </x:c>
      <x:c r="H16" s="58" t="n">
        <x:v>0.4</x:v>
      </x:c>
      <x:c r="I16" s="58" t="n">
        <x:v>0.4</x:v>
      </x:c>
      <x:c r="J16" s="58" t="n">
        <x:v>0.4</x:v>
      </x:c>
      <x:c r="K16" s="11" t="str">
        <x:v>固定参数；不随技能等级变化</x:v>
      </x:c>
    </x:row>
    <x:row r="17" ht="24" customHeight="1">
      <x:c r="A17" s="20" t="str">
        <x:v>[Q2-4]</x:v>
      </x:c>
      <x:c r="B17" s="20" t="str">
        <x:v>Q2｜锁城索</x:v>
      </x:c>
      <x:c r="C17" s="20" t="str">
        <x:v>固定伤害</x:v>
      </x:c>
      <x:c r="D17" s="20" t="str">
        <x:v>点</x:v>
      </x:c>
      <x:c r="E17" s="56" t="n">
        <x:v>40</x:v>
      </x:c>
      <x:c r="F17" s="56" t="n">
        <x:v>55</x:v>
      </x:c>
      <x:c r="G17" s="56" t="n">
        <x:v>77</x:v>
      </x:c>
      <x:c r="H17" s="60" t="n">
        <x:v>114</x:v>
      </x:c>
      <x:c r="I17" s="60" t="n">
        <x:v>164</x:v>
      </x:c>
      <x:c r="J17" s="60" t="n">
        <x:v>225</x:v>
      </x:c>
      <x:c r="K17" s="11" t="str"/>
    </x:row>
    <x:row r="18" ht="24" customHeight="1">
      <x:c r="A18" s="20" t="str">
        <x:v>[Q2-5]</x:v>
      </x:c>
      <x:c r="B18" s="20" t="str">
        <x:v>Q2｜锁城索</x:v>
      </x:c>
      <x:c r="C18" s="20" t="str">
        <x:v>AD系数</x:v>
      </x:c>
      <x:c r="D18" s="20" t="str">
        <x:v>%AD</x:v>
      </x:c>
      <x:c r="E18" s="56" t="n">
        <x:v>80</x:v>
      </x:c>
      <x:c r="F18" s="56" t="n">
        <x:v>85</x:v>
      </x:c>
      <x:c r="G18" s="56" t="n">
        <x:v>92</x:v>
      </x:c>
      <x:c r="H18" s="60" t="n">
        <x:v>104</x:v>
      </x:c>
      <x:c r="I18" s="60" t="n">
        <x:v>120</x:v>
      </x:c>
      <x:c r="J18" s="60" t="n">
        <x:v>140</x:v>
      </x:c>
      <x:c r="K18" s="11" t="str"/>
    </x:row>
    <x:row r="19" ht="24" customHeight="1">
      <x:c r="A19" s="20" t="str">
        <x:v>[Q2-6]</x:v>
      </x:c>
      <x:c r="B19" s="20" t="str">
        <x:v>Q2｜锁城索</x:v>
      </x:c>
      <x:c r="C19" s="20" t="str">
        <x:v>自体护盾最大生命比例</x:v>
      </x:c>
      <x:c r="D19" s="20" t="str">
        <x:v>%</x:v>
      </x:c>
      <x:c r="E19" s="58" t="n">
        <x:v>6</x:v>
      </x:c>
      <x:c r="F19" s="58" t="n">
        <x:v>6.72</x:v>
      </x:c>
      <x:c r="G19" s="58" t="n">
        <x:v>7.8</x:v>
      </x:c>
      <x:c r="H19" s="62" t="n">
        <x:v>9.6</x:v>
      </x:c>
      <x:c r="I19" s="62" t="n">
        <x:v>12.03</x:v>
      </x:c>
      <x:c r="J19" s="62" t="n">
        <x:v>15</x:v>
      </x:c>
      <x:c r="K19" s="11" t="str"/>
    </x:row>
    <x:row r="20" ht="24" customHeight="1">
      <x:c r="A20" s="20" t="str">
        <x:v>[Q2-7]</x:v>
      </x:c>
      <x:c r="B20" s="20" t="str">
        <x:v>Q2｜锁城索</x:v>
      </x:c>
      <x:c r="C20" s="20" t="str">
        <x:v>护盾持续</x:v>
      </x:c>
      <x:c r="D20" s="20" t="str">
        <x:v>秒</x:v>
      </x:c>
      <x:c r="E20" s="56" t="n">
        <x:v>4</x:v>
      </x:c>
      <x:c r="F20" s="56" t="n">
        <x:v>4</x:v>
      </x:c>
      <x:c r="G20" s="56" t="n">
        <x:v>4</x:v>
      </x:c>
      <x:c r="H20" s="56" t="n">
        <x:v>4</x:v>
      </x:c>
      <x:c r="I20" s="56" t="n">
        <x:v>4</x:v>
      </x:c>
      <x:c r="J20" s="56" t="n">
        <x:v>4</x:v>
      </x:c>
      <x:c r="K20" s="11" t="str">
        <x:v>固定参数；不随技能等级变化</x:v>
      </x:c>
    </x:row>
    <x:row r="21" ht="24" customHeight="1">
      <x:c r="A21" s="20" t="str">
        <x:v>[Q2-8]</x:v>
      </x:c>
      <x:c r="B21" s="20" t="str">
        <x:v>Q2｜锁城索</x:v>
      </x:c>
      <x:c r="C21" s="20" t="str">
        <x:v>基础冷却</x:v>
      </x:c>
      <x:c r="D21" s="20" t="str">
        <x:v>秒</x:v>
      </x:c>
      <x:c r="E21" s="58" t="n">
        <x:v>11</x:v>
      </x:c>
      <x:c r="F21" s="58" t="n">
        <x:v>10.8</x:v>
      </x:c>
      <x:c r="G21" s="58" t="n">
        <x:v>10.5</x:v>
      </x:c>
      <x:c r="H21" s="62" t="n">
        <x:v>10</x:v>
      </x:c>
      <x:c r="I21" s="62" t="n">
        <x:v>9.32</x:v>
      </x:c>
      <x:c r="J21" s="62" t="n">
        <x:v>8.5</x:v>
      </x:c>
      <x:c r="K21" s="11" t="str"/>
    </x:row>
    <x:row r="22" ht="24" customHeight="1">
      <x:c r="A22" s="30" t="str">
        <x:v>[Q3-1]</x:v>
      </x:c>
      <x:c r="B22" s="30" t="str">
        <x:v>Q3｜横关</x:v>
      </x:c>
      <x:c r="C22" s="30" t="str">
        <x:v>横扫半径</x:v>
      </x:c>
      <x:c r="D22" s="30" t="str">
        <x:v>米</x:v>
      </x:c>
      <x:c r="E22" s="58" t="n">
        <x:v>3.6</x:v>
      </x:c>
      <x:c r="F22" s="58" t="n">
        <x:v>3.7</x:v>
      </x:c>
      <x:c r="G22" s="58" t="n">
        <x:v>3.84</x:v>
      </x:c>
      <x:c r="H22" s="62" t="n">
        <x:v>4.08</x:v>
      </x:c>
      <x:c r="I22" s="62" t="n">
        <x:v>4.4</x:v>
      </x:c>
      <x:c r="J22" s="62" t="n">
        <x:v>4.8</x:v>
      </x:c>
      <x:c r="K22" s="11" t="str"/>
    </x:row>
    <x:row r="23" ht="24" customHeight="1">
      <x:c r="A23" s="20" t="str">
        <x:v>[Q3-2]</x:v>
      </x:c>
      <x:c r="B23" s="20" t="str">
        <x:v>Q3｜横关</x:v>
      </x:c>
      <x:c r="C23" s="20" t="str">
        <x:v>横扫角度</x:v>
      </x:c>
      <x:c r="D23" s="20" t="str">
        <x:v>度</x:v>
      </x:c>
      <x:c r="E23" s="56" t="n">
        <x:v>240</x:v>
      </x:c>
      <x:c r="F23" s="56" t="n">
        <x:v>240</x:v>
      </x:c>
      <x:c r="G23" s="56" t="n">
        <x:v>240</x:v>
      </x:c>
      <x:c r="H23" s="56" t="n">
        <x:v>240</x:v>
      </x:c>
      <x:c r="I23" s="56" t="n">
        <x:v>240</x:v>
      </x:c>
      <x:c r="J23" s="56" t="n">
        <x:v>240</x:v>
      </x:c>
      <x:c r="K23" s="11" t="str">
        <x:v>固定参数；不随技能等级变化</x:v>
      </x:c>
    </x:row>
    <x:row r="24" ht="24" customHeight="1">
      <x:c r="A24" s="20" t="str">
        <x:v>[Q3-3]</x:v>
      </x:c>
      <x:c r="B24" s="20" t="str">
        <x:v>Q3｜横关</x:v>
      </x:c>
      <x:c r="C24" s="20" t="str">
        <x:v>主段固定伤害</x:v>
      </x:c>
      <x:c r="D24" s="20" t="str">
        <x:v>点</x:v>
      </x:c>
      <x:c r="E24" s="56" t="n">
        <x:v>35</x:v>
      </x:c>
      <x:c r="F24" s="56" t="n">
        <x:v>47</x:v>
      </x:c>
      <x:c r="G24" s="56" t="n">
        <x:v>65</x:v>
      </x:c>
      <x:c r="H24" s="60" t="n">
        <x:v>95</x:v>
      </x:c>
      <x:c r="I24" s="60" t="n">
        <x:v>136</x:v>
      </x:c>
      <x:c r="J24" s="60" t="n">
        <x:v>185</x:v>
      </x:c>
      <x:c r="K24" s="11" t="str"/>
    </x:row>
    <x:row r="25" ht="24" customHeight="1">
      <x:c r="A25" s="20" t="str">
        <x:v>[Q3-4]</x:v>
      </x:c>
      <x:c r="B25" s="20" t="str">
        <x:v>Q3｜横关</x:v>
      </x:c>
      <x:c r="C25" s="20" t="str">
        <x:v>主段AD系数</x:v>
      </x:c>
      <x:c r="D25" s="20" t="str">
        <x:v>%AD</x:v>
      </x:c>
      <x:c r="E25" s="56" t="n">
        <x:v>70</x:v>
      </x:c>
      <x:c r="F25" s="56" t="n">
        <x:v>74</x:v>
      </x:c>
      <x:c r="G25" s="56" t="n">
        <x:v>80</x:v>
      </x:c>
      <x:c r="H25" s="60" t="n">
        <x:v>90</x:v>
      </x:c>
      <x:c r="I25" s="60" t="n">
        <x:v>104</x:v>
      </x:c>
      <x:c r="J25" s="60" t="n">
        <x:v>120</x:v>
      </x:c>
      <x:c r="K25" s="11" t="str"/>
    </x:row>
    <x:row r="26" ht="24" customHeight="1">
      <x:c r="A26" s="20" t="str">
        <x:v>[Q3-5]</x:v>
      </x:c>
      <x:c r="B26" s="20" t="str">
        <x:v>Q3｜横关</x:v>
      </x:c>
      <x:c r="C26" s="20" t="str">
        <x:v>击退距离</x:v>
      </x:c>
      <x:c r="D26" s="20" t="str">
        <x:v>米</x:v>
      </x:c>
      <x:c r="E26" s="58" t="n">
        <x:v>3.5</x:v>
      </x:c>
      <x:c r="F26" s="58" t="n">
        <x:v>3.62</x:v>
      </x:c>
      <x:c r="G26" s="58" t="n">
        <x:v>3.8</x:v>
      </x:c>
      <x:c r="H26" s="62" t="n">
        <x:v>4.1</x:v>
      </x:c>
      <x:c r="I26" s="62" t="n">
        <x:v>4.5</x:v>
      </x:c>
      <x:c r="J26" s="62" t="n">
        <x:v>5</x:v>
      </x:c>
      <x:c r="K26" s="11" t="str"/>
    </x:row>
    <x:row r="27" ht="24" customHeight="1">
      <x:c r="A27" s="20" t="str">
        <x:v>[Q3-6]</x:v>
      </x:c>
      <x:c r="B27" s="20" t="str">
        <x:v>Q3｜横关</x:v>
      </x:c>
      <x:c r="C27" s="20" t="str">
        <x:v>击退时长</x:v>
      </x:c>
      <x:c r="D27" s="20" t="str">
        <x:v>秒</x:v>
      </x:c>
      <x:c r="E27" s="58" t="n">
        <x:v>0.45</x:v>
      </x:c>
      <x:c r="F27" s="58" t="n">
        <x:v>0.45</x:v>
      </x:c>
      <x:c r="G27" s="58" t="n">
        <x:v>0.45</x:v>
      </x:c>
      <x:c r="H27" s="58" t="n">
        <x:v>0.45</x:v>
      </x:c>
      <x:c r="I27" s="58" t="n">
        <x:v>0.45</x:v>
      </x:c>
      <x:c r="J27" s="58" t="n">
        <x:v>0.45</x:v>
      </x:c>
      <x:c r="K27" s="11" t="str">
        <x:v>固定参数；不随技能等级变化</x:v>
      </x:c>
    </x:row>
    <x:row r="28" ht="24" customHeight="1">
      <x:c r="A28" s="20" t="str">
        <x:v>[Q3-7]</x:v>
      </x:c>
      <x:c r="B28" s="20" t="str">
        <x:v>Q3｜横关</x:v>
      </x:c>
      <x:c r="C28" s="20" t="str">
        <x:v>碰撞固定伤害</x:v>
      </x:c>
      <x:c r="D28" s="20" t="str">
        <x:v>点</x:v>
      </x:c>
      <x:c r="E28" s="56" t="n">
        <x:v>20</x:v>
      </x:c>
      <x:c r="F28" s="56" t="n">
        <x:v>26</x:v>
      </x:c>
      <x:c r="G28" s="56" t="n">
        <x:v>36</x:v>
      </x:c>
      <x:c r="H28" s="60" t="n">
        <x:v>52</x:v>
      </x:c>
      <x:c r="I28" s="60" t="n">
        <x:v>74</x:v>
      </x:c>
      <x:c r="J28" s="60" t="n">
        <x:v>100</x:v>
      </x:c>
      <x:c r="K28" s="11" t="str"/>
    </x:row>
    <x:row r="29" ht="24" customHeight="1">
      <x:c r="A29" s="20" t="str">
        <x:v>[Q3-8]</x:v>
      </x:c>
      <x:c r="B29" s="20" t="str">
        <x:v>Q3｜横关</x:v>
      </x:c>
      <x:c r="C29" s="20" t="str">
        <x:v>碰撞AD系数</x:v>
      </x:c>
      <x:c r="D29" s="20" t="str">
        <x:v>%AD</x:v>
      </x:c>
      <x:c r="E29" s="56" t="n">
        <x:v>30</x:v>
      </x:c>
      <x:c r="F29" s="56" t="n">
        <x:v>32</x:v>
      </x:c>
      <x:c r="G29" s="56" t="n">
        <x:v>36</x:v>
      </x:c>
      <x:c r="H29" s="60" t="n">
        <x:v>42</x:v>
      </x:c>
      <x:c r="I29" s="60" t="n">
        <x:v>50</x:v>
      </x:c>
      <x:c r="J29" s="60" t="n">
        <x:v>60</x:v>
      </x:c>
      <x:c r="K29" s="11" t="str"/>
    </x:row>
    <x:row r="30" ht="24" customHeight="1">
      <x:c r="A30" s="20" t="str">
        <x:v>[Q3-9]</x:v>
      </x:c>
      <x:c r="B30" s="20" t="str">
        <x:v>Q3｜横关</x:v>
      </x:c>
      <x:c r="C30" s="20" t="str">
        <x:v>碰撞眩晕</x:v>
      </x:c>
      <x:c r="D30" s="20" t="str">
        <x:v>秒</x:v>
      </x:c>
      <x:c r="E30" s="56" t="n">
        <x:v>1</x:v>
      </x:c>
      <x:c r="F30" s="56" t="n">
        <x:v>1</x:v>
      </x:c>
      <x:c r="G30" s="56" t="n">
        <x:v>1</x:v>
      </x:c>
      <x:c r="H30" s="56" t="n">
        <x:v>1</x:v>
      </x:c>
      <x:c r="I30" s="56" t="n">
        <x:v>1</x:v>
      </x:c>
      <x:c r="J30" s="56" t="n">
        <x:v>1</x:v>
      </x:c>
      <x:c r="K30" s="11" t="str">
        <x:v>固定参数；不随技能等级变化</x:v>
      </x:c>
    </x:row>
    <x:row r="31" ht="24" customHeight="1">
      <x:c r="A31" s="20" t="str">
        <x:v>[Q3-10]</x:v>
      </x:c>
      <x:c r="B31" s="20" t="str">
        <x:v>Q3｜横关</x:v>
      </x:c>
      <x:c r="C31" s="20" t="str">
        <x:v>基础冷却</x:v>
      </x:c>
      <x:c r="D31" s="20" t="str">
        <x:v>秒</x:v>
      </x:c>
      <x:c r="E31" s="58" t="n">
        <x:v>9</x:v>
      </x:c>
      <x:c r="F31" s="58" t="n">
        <x:v>8.84</x:v>
      </x:c>
      <x:c r="G31" s="58" t="n">
        <x:v>8.6</x:v>
      </x:c>
      <x:c r="H31" s="62" t="n">
        <x:v>8.2</x:v>
      </x:c>
      <x:c r="I31" s="62" t="n">
        <x:v>7.66</x:v>
      </x:c>
      <x:c r="J31" s="62" t="n">
        <x:v>7</x:v>
      </x:c>
      <x:c r="K31" s="11" t="str"/>
    </x:row>
    <x:row r="32" ht="24" customHeight="1">
      <x:c r="A32" s="30" t="str">
        <x:v>[E1-1]</x:v>
      </x:c>
      <x:c r="B32" s="30" t="str">
        <x:v>E1｜镇门</x:v>
      </x:c>
      <x:c r="C32" s="30" t="str">
        <x:v>防守最长持续</x:v>
      </x:c>
      <x:c r="D32" s="30" t="str">
        <x:v>秒</x:v>
      </x:c>
      <x:c r="E32" s="58" t="n">
        <x:v>2.5</x:v>
      </x:c>
      <x:c r="F32" s="58" t="n">
        <x:v>2.54</x:v>
      </x:c>
      <x:c r="G32" s="58" t="n">
        <x:v>2.6</x:v>
      </x:c>
      <x:c r="H32" s="62" t="n">
        <x:v>2.7</x:v>
      </x:c>
      <x:c r="I32" s="62" t="n">
        <x:v>2.83</x:v>
      </x:c>
      <x:c r="J32" s="62" t="n">
        <x:v>3</x:v>
      </x:c>
      <x:c r="K32" s="11" t="str"/>
    </x:row>
    <x:row r="33" ht="24" customHeight="1">
      <x:c r="A33" s="20" t="str">
        <x:v>[E1-2]</x:v>
      </x:c>
      <x:c r="B33" s="20" t="str">
        <x:v>E1｜镇门</x:v>
      </x:c>
      <x:c r="C33" s="20" t="str">
        <x:v>移动速度降低</x:v>
      </x:c>
      <x:c r="D33" s="20" t="str">
        <x:v>%</x:v>
      </x:c>
      <x:c r="E33" s="56" t="n">
        <x:v>35</x:v>
      </x:c>
      <x:c r="F33" s="56" t="n">
        <x:v>35</x:v>
      </x:c>
      <x:c r="G33" s="56" t="n">
        <x:v>35</x:v>
      </x:c>
      <x:c r="H33" s="56" t="n">
        <x:v>35</x:v>
      </x:c>
      <x:c r="I33" s="56" t="n">
        <x:v>35</x:v>
      </x:c>
      <x:c r="J33" s="56" t="n">
        <x:v>35</x:v>
      </x:c>
      <x:c r="K33" s="11" t="str">
        <x:v>固定参数；不随技能等级变化</x:v>
      </x:c>
    </x:row>
    <x:row r="34" ht="24" customHeight="1">
      <x:c r="A34" s="20" t="str">
        <x:v>[E1-3]</x:v>
      </x:c>
      <x:c r="B34" s="20" t="str">
        <x:v>E1｜镇门</x:v>
      </x:c>
      <x:c r="C34" s="20" t="str">
        <x:v>正面防守角度</x:v>
      </x:c>
      <x:c r="D34" s="20" t="str">
        <x:v>度</x:v>
      </x:c>
      <x:c r="E34" s="56" t="n">
        <x:v>120</x:v>
      </x:c>
      <x:c r="F34" s="56" t="n">
        <x:v>120</x:v>
      </x:c>
      <x:c r="G34" s="56" t="n">
        <x:v>120</x:v>
      </x:c>
      <x:c r="H34" s="56" t="n">
        <x:v>120</x:v>
      </x:c>
      <x:c r="I34" s="56" t="n">
        <x:v>120</x:v>
      </x:c>
      <x:c r="J34" s="56" t="n">
        <x:v>120</x:v>
      </x:c>
      <x:c r="K34" s="11" t="str">
        <x:v>固定参数；不随技能等级变化</x:v>
      </x:c>
    </x:row>
    <x:row r="35" ht="24" customHeight="1">
      <x:c r="A35" s="20" t="str">
        <x:v>[E1-4]</x:v>
      </x:c>
      <x:c r="B35" s="20" t="str">
        <x:v>E1｜镇门</x:v>
      </x:c>
      <x:c r="C35" s="20" t="str">
        <x:v>正面减伤</x:v>
      </x:c>
      <x:c r="D35" s="20" t="str">
        <x:v>%</x:v>
      </x:c>
      <x:c r="E35" s="56" t="n">
        <x:v>65</x:v>
      </x:c>
      <x:c r="F35" s="56" t="n">
        <x:v>66</x:v>
      </x:c>
      <x:c r="G35" s="56" t="n">
        <x:v>68</x:v>
      </x:c>
      <x:c r="H35" s="60" t="n">
        <x:v>72</x:v>
      </x:c>
      <x:c r="I35" s="60" t="n">
        <x:v>76</x:v>
      </x:c>
      <x:c r="J35" s="60" t="n">
        <x:v>82</x:v>
      </x:c>
      <x:c r="K35" s="11" t="str"/>
    </x:row>
    <x:row r="36" ht="24" customHeight="1">
      <x:c r="A36" s="20" t="str">
        <x:v>[E1-5]</x:v>
      </x:c>
      <x:c r="B36" s="20" t="str">
        <x:v>E1｜镇门</x:v>
      </x:c>
      <x:c r="C36" s="20" t="str">
        <x:v>反击矩形长度</x:v>
      </x:c>
      <x:c r="D36" s="20" t="str">
        <x:v>米</x:v>
      </x:c>
      <x:c r="E36" s="56" t="n">
        <x:v>3</x:v>
      </x:c>
      <x:c r="F36" s="56" t="n">
        <x:v>3</x:v>
      </x:c>
      <x:c r="G36" s="56" t="n">
        <x:v>3</x:v>
      </x:c>
      <x:c r="H36" s="56" t="n">
        <x:v>3</x:v>
      </x:c>
      <x:c r="I36" s="56" t="n">
        <x:v>3</x:v>
      </x:c>
      <x:c r="J36" s="56" t="n">
        <x:v>3</x:v>
      </x:c>
      <x:c r="K36" s="11" t="str">
        <x:v>固定参数；不随技能等级变化</x:v>
      </x:c>
    </x:row>
    <x:row r="37" ht="24" customHeight="1">
      <x:c r="A37" s="20" t="str">
        <x:v>[E1-6]</x:v>
      </x:c>
      <x:c r="B37" s="20" t="str">
        <x:v>E1｜镇门</x:v>
      </x:c>
      <x:c r="C37" s="20" t="str">
        <x:v>反击矩形宽度</x:v>
      </x:c>
      <x:c r="D37" s="20" t="str">
        <x:v>米</x:v>
      </x:c>
      <x:c r="E37" s="58" t="n">
        <x:v>3.2</x:v>
      </x:c>
      <x:c r="F37" s="58" t="n">
        <x:v>3.2</x:v>
      </x:c>
      <x:c r="G37" s="58" t="n">
        <x:v>3.2</x:v>
      </x:c>
      <x:c r="H37" s="58" t="n">
        <x:v>3.2</x:v>
      </x:c>
      <x:c r="I37" s="58" t="n">
        <x:v>3.2</x:v>
      </x:c>
      <x:c r="J37" s="58" t="n">
        <x:v>3.2</x:v>
      </x:c>
      <x:c r="K37" s="11" t="str">
        <x:v>固定参数；不随技能等级变化</x:v>
      </x:c>
    </x:row>
    <x:row r="38" ht="24" customHeight="1">
      <x:c r="A38" s="20" t="str">
        <x:v>[E1-7]</x:v>
      </x:c>
      <x:c r="B38" s="20" t="str">
        <x:v>E1｜镇门</x:v>
      </x:c>
      <x:c r="C38" s="20" t="str">
        <x:v>反击固定伤害</x:v>
      </x:c>
      <x:c r="D38" s="20" t="str">
        <x:v>点</x:v>
      </x:c>
      <x:c r="E38" s="56" t="n">
        <x:v>35</x:v>
      </x:c>
      <x:c r="F38" s="56" t="n">
        <x:v>48</x:v>
      </x:c>
      <x:c r="G38" s="56" t="n">
        <x:v>68</x:v>
      </x:c>
      <x:c r="H38" s="60" t="n">
        <x:v>101</x:v>
      </x:c>
      <x:c r="I38" s="60" t="n">
        <x:v>146</x:v>
      </x:c>
      <x:c r="J38" s="60" t="n">
        <x:v>200</x:v>
      </x:c>
      <x:c r="K38" s="11" t="str"/>
    </x:row>
    <x:row r="39" ht="24" customHeight="1">
      <x:c r="A39" s="20" t="str">
        <x:v>[E1-8]</x:v>
      </x:c>
      <x:c r="B39" s="20" t="str">
        <x:v>E1｜镇门</x:v>
      </x:c>
      <x:c r="C39" s="20" t="str">
        <x:v>反击AD系数</x:v>
      </x:c>
      <x:c r="D39" s="20" t="str">
        <x:v>%AD</x:v>
      </x:c>
      <x:c r="E39" s="56" t="n">
        <x:v>55</x:v>
      </x:c>
      <x:c r="F39" s="56" t="n">
        <x:v>59</x:v>
      </x:c>
      <x:c r="G39" s="56" t="n">
        <x:v>66</x:v>
      </x:c>
      <x:c r="H39" s="60" t="n">
        <x:v>77</x:v>
      </x:c>
      <x:c r="I39" s="60" t="n">
        <x:v>92</x:v>
      </x:c>
      <x:c r="J39" s="60" t="n">
        <x:v>110</x:v>
      </x:c>
      <x:c r="K39" s="11" t="str"/>
    </x:row>
    <x:row r="40" ht="24" customHeight="1">
      <x:c r="A40" s="20" t="str">
        <x:v>[E1-9]</x:v>
      </x:c>
      <x:c r="B40" s="20" t="str">
        <x:v>E1｜镇门</x:v>
      </x:c>
      <x:c r="C40" s="20" t="str">
        <x:v>反击击退距离</x:v>
      </x:c>
      <x:c r="D40" s="20" t="str">
        <x:v>米</x:v>
      </x:c>
      <x:c r="E40" s="58" t="n">
        <x:v>2.5</x:v>
      </x:c>
      <x:c r="F40" s="58" t="n">
        <x:v>2.62</x:v>
      </x:c>
      <x:c r="G40" s="58" t="n">
        <x:v>2.8</x:v>
      </x:c>
      <x:c r="H40" s="62" t="n">
        <x:v>3.1</x:v>
      </x:c>
      <x:c r="I40" s="62" t="n">
        <x:v>3.5</x:v>
      </x:c>
      <x:c r="J40" s="62" t="n">
        <x:v>4</x:v>
      </x:c>
      <x:c r="K40" s="11" t="str"/>
    </x:row>
    <x:row r="41" ht="24" customHeight="1">
      <x:c r="A41" s="20" t="str">
        <x:v>[E1-10]</x:v>
      </x:c>
      <x:c r="B41" s="20" t="str">
        <x:v>E1｜镇门</x:v>
      </x:c>
      <x:c r="C41" s="20" t="str">
        <x:v>基础冷却</x:v>
      </x:c>
      <x:c r="D41" s="20" t="str">
        <x:v>秒</x:v>
      </x:c>
      <x:c r="E41" s="58" t="n">
        <x:v>16</x:v>
      </x:c>
      <x:c r="F41" s="58" t="n">
        <x:v>15.72</x:v>
      </x:c>
      <x:c r="G41" s="58" t="n">
        <x:v>15.3</x:v>
      </x:c>
      <x:c r="H41" s="62" t="n">
        <x:v>14.6</x:v>
      </x:c>
      <x:c r="I41" s="62" t="n">
        <x:v>13.65</x:v>
      </x:c>
      <x:c r="J41" s="62" t="n">
        <x:v>12.5</x:v>
      </x:c>
      <x:c r="K41" s="11" t="str"/>
    </x:row>
    <x:row r="42" ht="24" customHeight="1">
      <x:c r="A42" s="30" t="str">
        <x:v>[E2-1]</x:v>
      </x:c>
      <x:c r="B42" s="30" t="str">
        <x:v>E2｜冲垒</x:v>
      </x:c>
      <x:c r="C42" s="30" t="str">
        <x:v>冲锋距离</x:v>
      </x:c>
      <x:c r="D42" s="30" t="str">
        <x:v>米</x:v>
      </x:c>
      <x:c r="E42" s="58" t="n">
        <x:v>7</x:v>
      </x:c>
      <x:c r="F42" s="58" t="n">
        <x:v>7.16</x:v>
      </x:c>
      <x:c r="G42" s="58" t="n">
        <x:v>7.4</x:v>
      </x:c>
      <x:c r="H42" s="62" t="n">
        <x:v>7.8</x:v>
      </x:c>
      <x:c r="I42" s="62" t="n">
        <x:v>8.34</x:v>
      </x:c>
      <x:c r="J42" s="62" t="n">
        <x:v>9</x:v>
      </x:c>
      <x:c r="K42" s="11" t="str"/>
    </x:row>
    <x:row r="43" ht="24" customHeight="1">
      <x:c r="A43" s="20" t="str">
        <x:v>[E2-2]</x:v>
      </x:c>
      <x:c r="B43" s="20" t="str">
        <x:v>E2｜冲垒</x:v>
      </x:c>
      <x:c r="C43" s="20" t="str">
        <x:v>冲锋时长</x:v>
      </x:c>
      <x:c r="D43" s="20" t="str">
        <x:v>秒</x:v>
      </x:c>
      <x:c r="E43" s="58" t="n">
        <x:v>0.8</x:v>
      </x:c>
      <x:c r="F43" s="58" t="n">
        <x:v>0.8</x:v>
      </x:c>
      <x:c r="G43" s="58" t="n">
        <x:v>0.8</x:v>
      </x:c>
      <x:c r="H43" s="58" t="n">
        <x:v>0.8</x:v>
      </x:c>
      <x:c r="I43" s="58" t="n">
        <x:v>0.8</x:v>
      </x:c>
      <x:c r="J43" s="58" t="n">
        <x:v>0.8</x:v>
      </x:c>
      <x:c r="K43" s="11" t="str">
        <x:v>固定参数；不随技能等级变化</x:v>
      </x:c>
    </x:row>
    <x:row r="44" ht="24" customHeight="1">
      <x:c r="A44" s="20" t="str">
        <x:v>[E2-3]</x:v>
      </x:c>
      <x:c r="B44" s="20" t="str">
        <x:v>E2｜冲垒</x:v>
      </x:c>
      <x:c r="C44" s="20" t="str">
        <x:v>冲锋宽度</x:v>
      </x:c>
      <x:c r="D44" s="20" t="str">
        <x:v>米</x:v>
      </x:c>
      <x:c r="E44" s="58" t="n">
        <x:v>2.5</x:v>
      </x:c>
      <x:c r="F44" s="58" t="n">
        <x:v>2.5</x:v>
      </x:c>
      <x:c r="G44" s="58" t="n">
        <x:v>2.5</x:v>
      </x:c>
      <x:c r="H44" s="58" t="n">
        <x:v>2.5</x:v>
      </x:c>
      <x:c r="I44" s="58" t="n">
        <x:v>2.5</x:v>
      </x:c>
      <x:c r="J44" s="58" t="n">
        <x:v>2.5</x:v>
      </x:c>
      <x:c r="K44" s="11" t="str">
        <x:v>固定参数；不随技能等级变化</x:v>
      </x:c>
    </x:row>
    <x:row r="45" ht="24" customHeight="1">
      <x:c r="A45" s="20" t="str">
        <x:v>[E2-4]</x:v>
      </x:c>
      <x:c r="B45" s="20" t="str">
        <x:v>E2｜冲垒</x:v>
      </x:c>
      <x:c r="C45" s="20" t="str">
        <x:v>结束甩出距离</x:v>
      </x:c>
      <x:c r="D45" s="20" t="str">
        <x:v>米</x:v>
      </x:c>
      <x:c r="E45" s="56" t="n">
        <x:v>2</x:v>
      </x:c>
      <x:c r="F45" s="56" t="n">
        <x:v>2</x:v>
      </x:c>
      <x:c r="G45" s="56" t="n">
        <x:v>2</x:v>
      </x:c>
      <x:c r="H45" s="56" t="n">
        <x:v>2</x:v>
      </x:c>
      <x:c r="I45" s="56" t="n">
        <x:v>2</x:v>
      </x:c>
      <x:c r="J45" s="56" t="n">
        <x:v>2</x:v>
      </x:c>
      <x:c r="K45" s="11" t="str">
        <x:v>固定参数；不随技能等级变化</x:v>
      </x:c>
    </x:row>
    <x:row r="46" ht="24" customHeight="1">
      <x:c r="A46" s="20" t="str">
        <x:v>[E2-5]</x:v>
      </x:c>
      <x:c r="B46" s="20" t="str">
        <x:v>E2｜冲垒</x:v>
      </x:c>
      <x:c r="C46" s="20" t="str">
        <x:v>主段固定伤害</x:v>
      </x:c>
      <x:c r="D46" s="20" t="str">
        <x:v>点</x:v>
      </x:c>
      <x:c r="E46" s="56" t="n">
        <x:v>40</x:v>
      </x:c>
      <x:c r="F46" s="56" t="n">
        <x:v>53</x:v>
      </x:c>
      <x:c r="G46" s="56" t="n">
        <x:v>73</x:v>
      </x:c>
      <x:c r="H46" s="60" t="n">
        <x:v>106</x:v>
      </x:c>
      <x:c r="I46" s="60" t="n">
        <x:v>151</x:v>
      </x:c>
      <x:c r="J46" s="60" t="n">
        <x:v>205</x:v>
      </x:c>
      <x:c r="K46" s="11" t="str"/>
    </x:row>
    <x:row r="47" ht="24" customHeight="1">
      <x:c r="A47" s="20" t="str">
        <x:v>[E2-6]</x:v>
      </x:c>
      <x:c r="B47" s="20" t="str">
        <x:v>E2｜冲垒</x:v>
      </x:c>
      <x:c r="C47" s="20" t="str">
        <x:v>主段AD系数</x:v>
      </x:c>
      <x:c r="D47" s="20" t="str">
        <x:v>%AD</x:v>
      </x:c>
      <x:c r="E47" s="56" t="n">
        <x:v>85</x:v>
      </x:c>
      <x:c r="F47" s="56" t="n">
        <x:v>90</x:v>
      </x:c>
      <x:c r="G47" s="56" t="n">
        <x:v>97</x:v>
      </x:c>
      <x:c r="H47" s="60" t="n">
        <x:v>109</x:v>
      </x:c>
      <x:c r="I47" s="60" t="n">
        <x:v>125</x:v>
      </x:c>
      <x:c r="J47" s="60" t="n">
        <x:v>145</x:v>
      </x:c>
      <x:c r="K47" s="11" t="str"/>
    </x:row>
    <x:row r="48" ht="24" customHeight="1">
      <x:c r="A48" s="20" t="str">
        <x:v>[E2-7]</x:v>
      </x:c>
      <x:c r="B48" s="20" t="str">
        <x:v>E2｜冲垒</x:v>
      </x:c>
      <x:c r="C48" s="20" t="str">
        <x:v>撞墙固定伤害</x:v>
      </x:c>
      <x:c r="D48" s="20" t="str">
        <x:v>点</x:v>
      </x:c>
      <x:c r="E48" s="56" t="n">
        <x:v>30</x:v>
      </x:c>
      <x:c r="F48" s="56" t="n">
        <x:v>40</x:v>
      </x:c>
      <x:c r="G48" s="56" t="n">
        <x:v>54</x:v>
      </x:c>
      <x:c r="H48" s="60" t="n">
        <x:v>78</x:v>
      </x:c>
      <x:c r="I48" s="60" t="n">
        <x:v>110</x:v>
      </x:c>
      <x:c r="J48" s="60" t="n">
        <x:v>150</x:v>
      </x:c>
      <x:c r="K48" s="11" t="str"/>
    </x:row>
    <x:row r="49" ht="24" customHeight="1">
      <x:c r="A49" s="20" t="str">
        <x:v>[E2-8]</x:v>
      </x:c>
      <x:c r="B49" s="20" t="str">
        <x:v>E2｜冲垒</x:v>
      </x:c>
      <x:c r="C49" s="20" t="str">
        <x:v>撞墙AD系数</x:v>
      </x:c>
      <x:c r="D49" s="20" t="str">
        <x:v>%AD</x:v>
      </x:c>
      <x:c r="E49" s="56" t="n">
        <x:v>40</x:v>
      </x:c>
      <x:c r="F49" s="56" t="n">
        <x:v>43</x:v>
      </x:c>
      <x:c r="G49" s="56" t="n">
        <x:v>47</x:v>
      </x:c>
      <x:c r="H49" s="60" t="n">
        <x:v>54</x:v>
      </x:c>
      <x:c r="I49" s="60" t="n">
        <x:v>63</x:v>
      </x:c>
      <x:c r="J49" s="60" t="n">
        <x:v>75</x:v>
      </x:c>
      <x:c r="K49" s="11" t="str"/>
    </x:row>
    <x:row r="50" ht="24" customHeight="1">
      <x:c r="A50" s="20" t="str">
        <x:v>[E2-9]</x:v>
      </x:c>
      <x:c r="B50" s="20" t="str">
        <x:v>E2｜冲垒</x:v>
      </x:c>
      <x:c r="C50" s="20" t="str">
        <x:v>撞墙眩晕</x:v>
      </x:c>
      <x:c r="D50" s="20" t="str">
        <x:v>秒</x:v>
      </x:c>
      <x:c r="E50" s="58" t="n">
        <x:v>0.8</x:v>
      </x:c>
      <x:c r="F50" s="58" t="n">
        <x:v>0.8</x:v>
      </x:c>
      <x:c r="G50" s="58" t="n">
        <x:v>0.8</x:v>
      </x:c>
      <x:c r="H50" s="58" t="n">
        <x:v>0.8</x:v>
      </x:c>
      <x:c r="I50" s="58" t="n">
        <x:v>0.8</x:v>
      </x:c>
      <x:c r="J50" s="58" t="n">
        <x:v>0.8</x:v>
      </x:c>
      <x:c r="K50" s="11" t="str">
        <x:v>固定参数；不随技能等级变化</x:v>
      </x:c>
    </x:row>
    <x:row r="51" ht="24" customHeight="1">
      <x:c r="A51" s="20" t="str">
        <x:v>[E2-10]</x:v>
      </x:c>
      <x:c r="B51" s="20" t="str">
        <x:v>E2｜冲垒</x:v>
      </x:c>
      <x:c r="C51" s="20" t="str">
        <x:v>精英位移比例</x:v>
      </x:c>
      <x:c r="D51" s="20" t="str">
        <x:v>%</x:v>
      </x:c>
      <x:c r="E51" s="56" t="n">
        <x:v>30</x:v>
      </x:c>
      <x:c r="F51" s="56" t="n">
        <x:v>30</x:v>
      </x:c>
      <x:c r="G51" s="56" t="n">
        <x:v>30</x:v>
      </x:c>
      <x:c r="H51" s="56" t="n">
        <x:v>30</x:v>
      </x:c>
      <x:c r="I51" s="56" t="n">
        <x:v>30</x:v>
      </x:c>
      <x:c r="J51" s="56" t="n">
        <x:v>30</x:v>
      </x:c>
      <x:c r="K51" s="11" t="str">
        <x:v>固定参数；不随技能等级变化</x:v>
      </x:c>
    </x:row>
    <x:row r="52" ht="24" customHeight="1">
      <x:c r="A52" s="20" t="str">
        <x:v>[E2-11]</x:v>
      </x:c>
      <x:c r="B52" s="20" t="str">
        <x:v>E2｜冲垒</x:v>
      </x:c>
      <x:c r="C52" s="20" t="str">
        <x:v>基础冷却</x:v>
      </x:c>
      <x:c r="D52" s="20" t="str">
        <x:v>秒</x:v>
      </x:c>
      <x:c r="E52" s="58" t="n">
        <x:v>18</x:v>
      </x:c>
      <x:c r="F52" s="58" t="n">
        <x:v>17.68</x:v>
      </x:c>
      <x:c r="G52" s="58" t="n">
        <x:v>17.2</x:v>
      </x:c>
      <x:c r="H52" s="62" t="n">
        <x:v>16.4</x:v>
      </x:c>
      <x:c r="I52" s="62" t="n">
        <x:v>15.32</x:v>
      </x:c>
      <x:c r="J52" s="62" t="n">
        <x:v>14</x:v>
      </x:c>
      <x:c r="K52" s="11" t="str"/>
    </x:row>
    <x:row r="53" ht="24" customHeight="1">
      <x:c r="A53" s="30" t="str">
        <x:v>[E3-1]</x:v>
      </x:c>
      <x:c r="B53" s="30" t="str">
        <x:v>E3｜合垒</x:v>
      </x:c>
      <x:c r="C53" s="30" t="str">
        <x:v>防御阵半径</x:v>
      </x:c>
      <x:c r="D53" s="30" t="str">
        <x:v>米</x:v>
      </x:c>
      <x:c r="E53" s="58" t="n">
        <x:v>5</x:v>
      </x:c>
      <x:c r="F53" s="58" t="n">
        <x:v>5.12</x:v>
      </x:c>
      <x:c r="G53" s="58" t="n">
        <x:v>5.3</x:v>
      </x:c>
      <x:c r="H53" s="62" t="n">
        <x:v>5.6</x:v>
      </x:c>
      <x:c r="I53" s="62" t="n">
        <x:v>6</x:v>
      </x:c>
      <x:c r="J53" s="62" t="n">
        <x:v>6.5</x:v>
      </x:c>
      <x:c r="K53" s="11" t="str"/>
    </x:row>
    <x:row r="54" ht="24" customHeight="1">
      <x:c r="A54" s="20" t="str">
        <x:v>[E3-2]</x:v>
      </x:c>
      <x:c r="B54" s="20" t="str">
        <x:v>E3｜合垒</x:v>
      </x:c>
      <x:c r="C54" s="20" t="str">
        <x:v>防御阵持续</x:v>
      </x:c>
      <x:c r="D54" s="20" t="str">
        <x:v>秒</x:v>
      </x:c>
      <x:c r="E54" s="58" t="n">
        <x:v>7</x:v>
      </x:c>
      <x:c r="F54" s="58" t="n">
        <x:v>7.16</x:v>
      </x:c>
      <x:c r="G54" s="58" t="n">
        <x:v>7.4</x:v>
      </x:c>
      <x:c r="H54" s="62" t="n">
        <x:v>7.8</x:v>
      </x:c>
      <x:c r="I54" s="62" t="n">
        <x:v>8.34</x:v>
      </x:c>
      <x:c r="J54" s="62" t="n">
        <x:v>9</x:v>
      </x:c>
      <x:c r="K54" s="11" t="str"/>
    </x:row>
    <x:row r="55" ht="24" customHeight="1">
      <x:c r="A55" s="20" t="str">
        <x:v>[E3-3]</x:v>
      </x:c>
      <x:c r="B55" s="20" t="str">
        <x:v>E3｜合垒</x:v>
      </x:c>
      <x:c r="C55" s="20" t="str">
        <x:v>友方护盾占玄垒最大生命比例</x:v>
      </x:c>
      <x:c r="D55" s="20" t="str">
        <x:v>%</x:v>
      </x:c>
      <x:c r="E55" s="56" t="n">
        <x:v>8</x:v>
      </x:c>
      <x:c r="F55" s="56" t="n">
        <x:v>9</x:v>
      </x:c>
      <x:c r="G55" s="56" t="n">
        <x:v>11</x:v>
      </x:c>
      <x:c r="H55" s="60" t="n">
        <x:v>15</x:v>
      </x:c>
      <x:c r="I55" s="60" t="n">
        <x:v>21</x:v>
      </x:c>
      <x:c r="J55" s="60" t="n">
        <x:v>29</x:v>
      </x:c>
      <x:c r="K55" s="11" t="str"/>
    </x:row>
    <x:row r="56" ht="24" customHeight="1">
      <x:c r="A56" s="20" t="str">
        <x:v>[E3-4]</x:v>
      </x:c>
      <x:c r="B56" s="20" t="str">
        <x:v>E3｜合垒</x:v>
      </x:c>
      <x:c r="C56" s="20" t="str">
        <x:v>自身护盾倍数</x:v>
      </x:c>
      <x:c r="D56" s="20" t="str">
        <x:v>倍</x:v>
      </x:c>
      <x:c r="E56" s="56" t="n">
        <x:v>2</x:v>
      </x:c>
      <x:c r="F56" s="56" t="n">
        <x:v>2</x:v>
      </x:c>
      <x:c r="G56" s="56" t="n">
        <x:v>2</x:v>
      </x:c>
      <x:c r="H56" s="56" t="n">
        <x:v>2</x:v>
      </x:c>
      <x:c r="I56" s="56" t="n">
        <x:v>2</x:v>
      </x:c>
      <x:c r="J56" s="56" t="n">
        <x:v>2</x:v>
      </x:c>
      <x:c r="K56" s="11" t="str">
        <x:v>固定参数；不随技能等级变化</x:v>
      </x:c>
    </x:row>
    <x:row r="57" ht="24" customHeight="1">
      <x:c r="A57" s="20" t="str">
        <x:v>[E3-5]</x:v>
      </x:c>
      <x:c r="B57" s="20" t="str">
        <x:v>E3｜合垒</x:v>
      </x:c>
      <x:c r="C57" s="20" t="str">
        <x:v>基础冷却</x:v>
      </x:c>
      <x:c r="D57" s="20" t="str">
        <x:v>秒</x:v>
      </x:c>
      <x:c r="E57" s="58" t="n">
        <x:v>25</x:v>
      </x:c>
      <x:c r="F57" s="58" t="n">
        <x:v>24.52</x:v>
      </x:c>
      <x:c r="G57" s="58" t="n">
        <x:v>23.8</x:v>
      </x:c>
      <x:c r="H57" s="62" t="n">
        <x:v>22.6</x:v>
      </x:c>
      <x:c r="I57" s="62" t="n">
        <x:v>20.98</x:v>
      </x:c>
      <x:c r="J57" s="62" t="n">
        <x:v>19</x:v>
      </x:c>
      <x:c r="K57" s="11" t="str"/>
    </x:row>
    <x:row r="58" ht="24" customHeight="1">
      <x:c r="A58" s="30" t="str">
        <x:v>[P1-1]</x:v>
      </x:c>
      <x:c r="B58" s="30" t="str">
        <x:v>P1｜城骨</x:v>
      </x:c>
      <x:c r="C58" s="30" t="str">
        <x:v>获得城骨间隔</x:v>
      </x:c>
      <x:c r="D58" s="30" t="str">
        <x:v>秒</x:v>
      </x:c>
      <x:c r="E58" s="56" t="n">
        <x:v>4</x:v>
      </x:c>
      <x:c r="F58" s="56" t="n">
        <x:v>4</x:v>
      </x:c>
      <x:c r="G58" s="56" t="n">
        <x:v>4</x:v>
      </x:c>
      <x:c r="H58" s="56" t="n">
        <x:v>4</x:v>
      </x:c>
      <x:c r="I58" s="34"/>
      <x:c r="J58" s="34"/>
      <x:c r="K58" s="11" t="str">
        <x:v>固定参数；不随技能等级变化</x:v>
      </x:c>
    </x:row>
    <x:row r="59" ht="24" customHeight="1">
      <x:c r="A59" s="20" t="str">
        <x:v>[P1-2]</x:v>
      </x:c>
      <x:c r="B59" s="20" t="str">
        <x:v>P1｜城骨</x:v>
      </x:c>
      <x:c r="C59" s="20" t="str">
        <x:v>每次获得层数</x:v>
      </x:c>
      <x:c r="D59" s="20" t="str">
        <x:v>层</x:v>
      </x:c>
      <x:c r="E59" s="56" t="n">
        <x:v>1</x:v>
      </x:c>
      <x:c r="F59" s="56" t="n">
        <x:v>1</x:v>
      </x:c>
      <x:c r="G59" s="56" t="n">
        <x:v>1</x:v>
      </x:c>
      <x:c r="H59" s="56" t="n">
        <x:v>1</x:v>
      </x:c>
      <x:c r="I59" s="34"/>
      <x:c r="J59" s="34"/>
      <x:c r="K59" s="11" t="str">
        <x:v>固定参数；不随技能等级变化</x:v>
      </x:c>
    </x:row>
    <x:row r="60" ht="24" customHeight="1">
      <x:c r="A60" s="20" t="str">
        <x:v>[P1-3]</x:v>
      </x:c>
      <x:c r="B60" s="20" t="str">
        <x:v>P1｜城骨</x:v>
      </x:c>
      <x:c r="C60" s="20" t="str">
        <x:v>城骨上限</x:v>
      </x:c>
      <x:c r="D60" s="20" t="str">
        <x:v>层</x:v>
      </x:c>
      <x:c r="E60" s="56" t="n">
        <x:v>4</x:v>
      </x:c>
      <x:c r="F60" s="56" t="n">
        <x:v>4</x:v>
      </x:c>
      <x:c r="G60" s="56" t="n">
        <x:v>4</x:v>
      </x:c>
      <x:c r="H60" s="56" t="n">
        <x:v>4</x:v>
      </x:c>
      <x:c r="I60" s="34"/>
      <x:c r="J60" s="34"/>
      <x:c r="K60" s="11" t="str">
        <x:v>固定参数；不随技能等级变化</x:v>
      </x:c>
    </x:row>
    <x:row r="61" ht="24" customHeight="1">
      <x:c r="A61" s="20" t="str">
        <x:v>[P1-4]</x:v>
      </x:c>
      <x:c r="B61" s="20" t="str">
        <x:v>P1｜城骨</x:v>
      </x:c>
      <x:c r="C61" s="20" t="str">
        <x:v>每层防御加成</x:v>
      </x:c>
      <x:c r="D61" s="20" t="str">
        <x:v>%</x:v>
      </x:c>
      <x:c r="E61" s="56" t="n">
        <x:v>3</x:v>
      </x:c>
      <x:c r="F61" s="56" t="n">
        <x:v>4</x:v>
      </x:c>
      <x:c r="G61" s="60" t="n">
        <x:v>6</x:v>
      </x:c>
      <x:c r="H61" s="60" t="n">
        <x:v>9</x:v>
      </x:c>
      <x:c r="I61" s="34"/>
      <x:c r="J61" s="34"/>
      <x:c r="K61" s="11" t="str"/>
    </x:row>
    <x:row r="62" ht="24" customHeight="1">
      <x:c r="A62" s="30" t="str">
        <x:v>[P2-1]</x:v>
      </x:c>
      <x:c r="B62" s="30" t="str">
        <x:v>P2｜百创不折</x:v>
      </x:c>
      <x:c r="C62" s="30" t="str">
        <x:v>承伤统计窗口</x:v>
      </x:c>
      <x:c r="D62" s="30" t="str">
        <x:v>秒</x:v>
      </x:c>
      <x:c r="E62" s="56" t="n">
        <x:v>3</x:v>
      </x:c>
      <x:c r="F62" s="56" t="n">
        <x:v>3</x:v>
      </x:c>
      <x:c r="G62" s="56" t="n">
        <x:v>3</x:v>
      </x:c>
      <x:c r="H62" s="56" t="n">
        <x:v>3</x:v>
      </x:c>
      <x:c r="I62" s="34"/>
      <x:c r="J62" s="34"/>
      <x:c r="K62" s="11" t="str">
        <x:v>固定参数；不随技能等级变化</x:v>
      </x:c>
    </x:row>
    <x:row r="63" ht="24" customHeight="1">
      <x:c r="A63" s="20" t="str">
        <x:v>[P2-2]</x:v>
      </x:c>
      <x:c r="B63" s="20" t="str">
        <x:v>P2｜百创不折</x:v>
      </x:c>
      <x:c r="C63" s="20" t="str">
        <x:v>承伤最大生命阈值</x:v>
      </x:c>
      <x:c r="D63" s="20" t="str">
        <x:v>%</x:v>
      </x:c>
      <x:c r="E63" s="56" t="n">
        <x:v>15</x:v>
      </x:c>
      <x:c r="F63" s="56" t="n">
        <x:v>15</x:v>
      </x:c>
      <x:c r="G63" s="56" t="n">
        <x:v>15</x:v>
      </x:c>
      <x:c r="H63" s="56" t="n">
        <x:v>15</x:v>
      </x:c>
      <x:c r="I63" s="34"/>
      <x:c r="J63" s="34"/>
      <x:c r="K63" s="11" t="str">
        <x:v>固定参数；不随技能等级变化</x:v>
      </x:c>
    </x:row>
    <x:row r="64" ht="24" customHeight="1">
      <x:c r="A64" s="20" t="str">
        <x:v>[P2-3]</x:v>
      </x:c>
      <x:c r="B64" s="20" t="str">
        <x:v>P2｜百创不折</x:v>
      </x:c>
      <x:c r="C64" s="20" t="str">
        <x:v>反震固定伤害</x:v>
      </x:c>
      <x:c r="D64" s="20" t="str">
        <x:v>点</x:v>
      </x:c>
      <x:c r="E64" s="56" t="n">
        <x:v>25</x:v>
      </x:c>
      <x:c r="F64" s="56" t="n">
        <x:v>40</x:v>
      </x:c>
      <x:c r="G64" s="60" t="n">
        <x:v>80</x:v>
      </x:c>
      <x:c r="H64" s="60" t="n">
        <x:v>150</x:v>
      </x:c>
      <x:c r="I64" s="34"/>
      <x:c r="J64" s="34"/>
      <x:c r="K64" s="11" t="str"/>
    </x:row>
    <x:row r="65" ht="24" customHeight="1">
      <x:c r="A65" s="20" t="str">
        <x:v>[P2-4]</x:v>
      </x:c>
      <x:c r="B65" s="20" t="str">
        <x:v>P2｜百创不折</x:v>
      </x:c>
      <x:c r="C65" s="20" t="str">
        <x:v>反震AD系数</x:v>
      </x:c>
      <x:c r="D65" s="20" t="str">
        <x:v>%AD</x:v>
      </x:c>
      <x:c r="E65" s="56" t="n">
        <x:v>30</x:v>
      </x:c>
      <x:c r="F65" s="56" t="n">
        <x:v>42</x:v>
      </x:c>
      <x:c r="G65" s="60" t="n">
        <x:v>66</x:v>
      </x:c>
      <x:c r="H65" s="60" t="n">
        <x:v>105</x:v>
      </x:c>
      <x:c r="I65" s="34"/>
      <x:c r="J65" s="34"/>
      <x:c r="K65" s="11" t="str"/>
    </x:row>
    <x:row r="66" ht="24" customHeight="1">
      <x:c r="A66" s="20" t="str">
        <x:v>[P2-5]</x:v>
      </x:c>
      <x:c r="B66" s="20" t="str">
        <x:v>P2｜百创不折</x:v>
      </x:c>
      <x:c r="C66" s="20" t="str">
        <x:v>回复已损失生命比例</x:v>
      </x:c>
      <x:c r="D66" s="20" t="str">
        <x:v>%</x:v>
      </x:c>
      <x:c r="E66" s="56" t="n">
        <x:v>3</x:v>
      </x:c>
      <x:c r="F66" s="56" t="n">
        <x:v>4</x:v>
      </x:c>
      <x:c r="G66" s="60" t="n">
        <x:v>7</x:v>
      </x:c>
      <x:c r="H66" s="60" t="n">
        <x:v>12</x:v>
      </x:c>
      <x:c r="I66" s="34"/>
      <x:c r="J66" s="34"/>
      <x:c r="K66" s="11" t="str"/>
    </x:row>
    <x:row r="67" ht="24" customHeight="1">
      <x:c r="A67" s="20" t="str">
        <x:v>[P2-6]</x:v>
      </x:c>
      <x:c r="B67" s="20" t="str">
        <x:v>P2｜百创不折</x:v>
      </x:c>
      <x:c r="C67" s="20" t="str">
        <x:v>触发冷却</x:v>
      </x:c>
      <x:c r="D67" s="20" t="str">
        <x:v>秒</x:v>
      </x:c>
      <x:c r="E67" s="56" t="n">
        <x:v>8</x:v>
      </x:c>
      <x:c r="F67" s="56" t="n">
        <x:v>8</x:v>
      </x:c>
      <x:c r="G67" s="56" t="n">
        <x:v>8</x:v>
      </x:c>
      <x:c r="H67" s="56" t="n">
        <x:v>8</x:v>
      </x:c>
      <x:c r="I67" s="34"/>
      <x:c r="J67" s="34"/>
      <x:c r="K67" s="11" t="str">
        <x:v>固定参数；不随技能等级变化</x:v>
      </x:c>
    </x:row>
    <x:row r="68" ht="24" customHeight="1">
      <x:c r="A68" s="30" t="str">
        <x:v>[P3-1]</x:v>
      </x:c>
      <x:c r="B68" s="30" t="str">
        <x:v>P3｜残城</x:v>
      </x:c>
      <x:c r="C68" s="30" t="str">
        <x:v>生效生命阈值</x:v>
      </x:c>
      <x:c r="D68" s="30" t="str">
        <x:v>%</x:v>
      </x:c>
      <x:c r="E68" s="56" t="n">
        <x:v>50</x:v>
      </x:c>
      <x:c r="F68" s="56" t="n">
        <x:v>50</x:v>
      </x:c>
      <x:c r="G68" s="56" t="n">
        <x:v>50</x:v>
      </x:c>
      <x:c r="H68" s="56" t="n">
        <x:v>50</x:v>
      </x:c>
      <x:c r="I68" s="34"/>
      <x:c r="J68" s="34"/>
      <x:c r="K68" s="11" t="str">
        <x:v>固定参数；不随技能等级变化</x:v>
      </x:c>
    </x:row>
    <x:row r="69" ht="24" customHeight="1">
      <x:c r="A69" s="20" t="str">
        <x:v>[P3-2]</x:v>
      </x:c>
      <x:c r="B69" s="20" t="str">
        <x:v>P3｜残城</x:v>
      </x:c>
      <x:c r="C69" s="20" t="str">
        <x:v>最高攻击力增幅</x:v>
      </x:c>
      <x:c r="D69" s="20" t="str">
        <x:v>%</x:v>
      </x:c>
      <x:c r="E69" s="56" t="n">
        <x:v>12</x:v>
      </x:c>
      <x:c r="F69" s="56" t="n">
        <x:v>18</x:v>
      </x:c>
      <x:c r="G69" s="60" t="n">
        <x:v>30</x:v>
      </x:c>
      <x:c r="H69" s="60" t="n">
        <x:v>50</x:v>
      </x:c>
      <x:c r="I69" s="34"/>
      <x:c r="J69" s="34"/>
      <x:c r="K69" s="11" t="str"/>
    </x:row>
    <x:row r="70" ht="24" customHeight="1">
      <x:c r="A70" s="20" t="str">
        <x:v>[P3-3]</x:v>
      </x:c>
      <x:c r="B70" s="20" t="str">
        <x:v>P3｜残城</x:v>
      </x:c>
      <x:c r="C70" s="20" t="str">
        <x:v>最高吸血增幅</x:v>
      </x:c>
      <x:c r="D70" s="20" t="str">
        <x:v>%</x:v>
      </x:c>
      <x:c r="E70" s="56" t="n">
        <x:v>4</x:v>
      </x:c>
      <x:c r="F70" s="56" t="n">
        <x:v>6</x:v>
      </x:c>
      <x:c r="G70" s="60" t="n">
        <x:v>10</x:v>
      </x:c>
      <x:c r="H70" s="60" t="n">
        <x:v>17</x:v>
      </x:c>
      <x:c r="I70" s="34"/>
      <x:c r="J70" s="34"/>
      <x:c r="K70" s="11" t="str"/>
    </x:row>
    <x:row r="71" ht="24" customHeight="1">
      <x:c r="A71" s="30" t="str">
        <x:v>[R1-1]</x:v>
      </x:c>
      <x:c r="B71" s="30" t="str">
        <x:v>R1｜背城</x:v>
      </x:c>
      <x:c r="C71" s="30" t="str">
        <x:v>背城持续</x:v>
      </x:c>
      <x:c r="D71" s="30" t="str">
        <x:v>秒</x:v>
      </x:c>
      <x:c r="E71" s="58" t="n">
        <x:v>8</x:v>
      </x:c>
      <x:c r="F71" s="58" t="n">
        <x:v>8.7</x:v>
      </x:c>
      <x:c r="G71" s="62" t="n">
        <x:v>10.2</x:v>
      </x:c>
      <x:c r="H71" s="62" t="n">
        <x:v>12.5</x:v>
      </x:c>
      <x:c r="I71" s="34"/>
      <x:c r="J71" s="34"/>
      <x:c r="K71" s="11" t="str"/>
    </x:row>
    <x:row r="72" ht="24" customHeight="1">
      <x:c r="A72" s="20" t="str">
        <x:v>[R1-2]</x:v>
      </x:c>
      <x:c r="B72" s="20" t="str">
        <x:v>R1｜背城</x:v>
      </x:c>
      <x:c r="C72" s="20" t="str">
        <x:v>最终减伤</x:v>
      </x:c>
      <x:c r="D72" s="20" t="str">
        <x:v>%</x:v>
      </x:c>
      <x:c r="E72" s="56" t="n">
        <x:v>45</x:v>
      </x:c>
      <x:c r="F72" s="56" t="n">
        <x:v>49</x:v>
      </x:c>
      <x:c r="G72" s="60" t="n">
        <x:v>57</x:v>
      </x:c>
      <x:c r="H72" s="60" t="n">
        <x:v>68</x:v>
      </x:c>
      <x:c r="I72" s="34"/>
      <x:c r="J72" s="34"/>
      <x:c r="K72" s="11" t="str"/>
    </x:row>
    <x:row r="73" ht="24" customHeight="1">
      <x:c r="A73" s="20" t="str">
        <x:v>[R1-3]</x:v>
      </x:c>
      <x:c r="B73" s="20" t="str">
        <x:v>R1｜背城</x:v>
      </x:c>
      <x:c r="C73" s="20" t="str">
        <x:v>韧性设定</x:v>
      </x:c>
      <x:c r="D73" s="20" t="str">
        <x:v>%</x:v>
      </x:c>
      <x:c r="E73" s="56" t="n">
        <x:v>100</x:v>
      </x:c>
      <x:c r="F73" s="56" t="n">
        <x:v>100</x:v>
      </x:c>
      <x:c r="G73" s="56" t="n">
        <x:v>100</x:v>
      </x:c>
      <x:c r="H73" s="56" t="n">
        <x:v>100</x:v>
      </x:c>
      <x:c r="I73" s="34"/>
      <x:c r="J73" s="34"/>
      <x:c r="K73" s="11" t="str">
        <x:v>固定参数；不随技能等级变化</x:v>
      </x:c>
    </x:row>
    <x:row r="74" ht="24" customHeight="1">
      <x:c r="A74" s="20" t="str">
        <x:v>[R1-4]</x:v>
      </x:c>
      <x:c r="B74" s="20" t="str">
        <x:v>R1｜背城</x:v>
      </x:c>
      <x:c r="C74" s="20" t="str">
        <x:v>嘲讽半径</x:v>
      </x:c>
      <x:c r="D74" s="20" t="str">
        <x:v>米</x:v>
      </x:c>
      <x:c r="E74" s="56" t="n">
        <x:v>9</x:v>
      </x:c>
      <x:c r="F74" s="56" t="n">
        <x:v>9</x:v>
      </x:c>
      <x:c r="G74" s="56" t="n">
        <x:v>9</x:v>
      </x:c>
      <x:c r="H74" s="56" t="n">
        <x:v>9</x:v>
      </x:c>
      <x:c r="I74" s="34"/>
      <x:c r="J74" s="34"/>
      <x:c r="K74" s="11" t="str">
        <x:v>固定参数；不随技能等级变化</x:v>
      </x:c>
    </x:row>
    <x:row r="75" ht="24" customHeight="1">
      <x:c r="A75" s="20" t="str">
        <x:v>[R1-5]</x:v>
      </x:c>
      <x:c r="B75" s="20" t="str">
        <x:v>R1｜背城</x:v>
      </x:c>
      <x:c r="C75" s="20" t="str">
        <x:v>城压记录比例</x:v>
      </x:c>
      <x:c r="D75" s="20" t="str">
        <x:v>%</x:v>
      </x:c>
      <x:c r="E75" s="56" t="n">
        <x:v>20</x:v>
      </x:c>
      <x:c r="F75" s="56" t="n">
        <x:v>25</x:v>
      </x:c>
      <x:c r="G75" s="60" t="n">
        <x:v>35</x:v>
      </x:c>
      <x:c r="H75" s="60" t="n">
        <x:v>50</x:v>
      </x:c>
      <x:c r="I75" s="34"/>
      <x:c r="J75" s="34"/>
      <x:c r="K75" s="11" t="str"/>
    </x:row>
    <x:row r="76" ht="24" customHeight="1">
      <x:c r="A76" s="20" t="str">
        <x:v>[R1-6]</x:v>
      </x:c>
      <x:c r="B76" s="20" t="str">
        <x:v>R1｜背城</x:v>
      </x:c>
      <x:c r="C76" s="20" t="str">
        <x:v>城压最大生命上限</x:v>
      </x:c>
      <x:c r="D76" s="20" t="str">
        <x:v>%</x:v>
      </x:c>
      <x:c r="E76" s="56" t="n">
        <x:v>100</x:v>
      </x:c>
      <x:c r="F76" s="56" t="n">
        <x:v>115</x:v>
      </x:c>
      <x:c r="G76" s="60" t="n">
        <x:v>145</x:v>
      </x:c>
      <x:c r="H76" s="60" t="n">
        <x:v>190</x:v>
      </x:c>
      <x:c r="I76" s="34"/>
      <x:c r="J76" s="34"/>
      <x:c r="K76" s="11" t="str"/>
    </x:row>
    <x:row r="77" ht="24" customHeight="1">
      <x:c r="A77" s="20" t="str">
        <x:v>[R1-7]</x:v>
      </x:c>
      <x:c r="B77" s="20" t="str">
        <x:v>R1｜背城</x:v>
      </x:c>
      <x:c r="C77" s="20" t="str">
        <x:v>砸地半径</x:v>
      </x:c>
      <x:c r="D77" s="20" t="str">
        <x:v>米</x:v>
      </x:c>
      <x:c r="E77" s="58" t="n">
        <x:v>6</x:v>
      </x:c>
      <x:c r="F77" s="58" t="n">
        <x:v>6.36</x:v>
      </x:c>
      <x:c r="G77" s="62" t="n">
        <x:v>7</x:v>
      </x:c>
      <x:c r="H77" s="62" t="n">
        <x:v>8</x:v>
      </x:c>
      <x:c r="I77" s="34"/>
      <x:c r="J77" s="34"/>
      <x:c r="K77" s="11" t="str"/>
    </x:row>
    <x:row r="78" ht="24" customHeight="1">
      <x:c r="A78" s="20" t="str">
        <x:v>[R1-8]</x:v>
      </x:c>
      <x:c r="B78" s="20" t="str">
        <x:v>R1｜背城</x:v>
      </x:c>
      <x:c r="C78" s="20" t="str">
        <x:v>终结固定伤害</x:v>
      </x:c>
      <x:c r="D78" s="20" t="str">
        <x:v>点</x:v>
      </x:c>
      <x:c r="E78" s="56" t="n">
        <x:v>200</x:v>
      </x:c>
      <x:c r="F78" s="56" t="n">
        <x:v>290</x:v>
      </x:c>
      <x:c r="G78" s="60" t="n">
        <x:v>500</x:v>
      </x:c>
      <x:c r="H78" s="60" t="n">
        <x:v>850</x:v>
      </x:c>
      <x:c r="I78" s="34"/>
      <x:c r="J78" s="34"/>
      <x:c r="K78" s="11" t="str"/>
    </x:row>
    <x:row r="79" ht="24" customHeight="1">
      <x:c r="A79" s="20" t="str">
        <x:v>[R1-9]</x:v>
      </x:c>
      <x:c r="B79" s="20" t="str">
        <x:v>R1｜背城</x:v>
      </x:c>
      <x:c r="C79" s="20" t="str">
        <x:v>终结AD系数</x:v>
      </x:c>
      <x:c r="D79" s="20" t="str">
        <x:v>%AD</x:v>
      </x:c>
      <x:c r="E79" s="56" t="n">
        <x:v>180</x:v>
      </x:c>
      <x:c r="F79" s="56" t="n">
        <x:v>210</x:v>
      </x:c>
      <x:c r="G79" s="60" t="n">
        <x:v>285</x:v>
      </x:c>
      <x:c r="H79" s="60" t="n">
        <x:v>420</x:v>
      </x:c>
      <x:c r="I79" s="34"/>
      <x:c r="J79" s="34"/>
      <x:c r="K79" s="11" t="str"/>
    </x:row>
    <x:row r="80" ht="24" customHeight="1">
      <x:c r="A80" s="20" t="str">
        <x:v>[R1-10]</x:v>
      </x:c>
      <x:c r="B80" s="20" t="str">
        <x:v>R1｜背城</x:v>
      </x:c>
      <x:c r="C80" s="20" t="str">
        <x:v>城压伤害转化</x:v>
      </x:c>
      <x:c r="D80" s="20" t="str">
        <x:v>%</x:v>
      </x:c>
      <x:c r="E80" s="56" t="n">
        <x:v>100</x:v>
      </x:c>
      <x:c r="F80" s="56" t="n">
        <x:v>100</x:v>
      </x:c>
      <x:c r="G80" s="56" t="n">
        <x:v>100</x:v>
      </x:c>
      <x:c r="H80" s="56" t="n">
        <x:v>100</x:v>
      </x:c>
      <x:c r="I80" s="34"/>
      <x:c r="J80" s="34"/>
      <x:c r="K80" s="11" t="str">
        <x:v>固定参数；不随技能等级变化</x:v>
      </x:c>
    </x:row>
    <x:row r="81" ht="24" customHeight="1">
      <x:c r="A81" s="20" t="str">
        <x:v>[R1-11]</x:v>
      </x:c>
      <x:c r="B81" s="20" t="str">
        <x:v>R1｜背城</x:v>
      </x:c>
      <x:c r="C81" s="20" t="str">
        <x:v>城压护盾转化</x:v>
      </x:c>
      <x:c r="D81" s="20" t="str">
        <x:v>%</x:v>
      </x:c>
      <x:c r="E81" s="56" t="n">
        <x:v>40</x:v>
      </x:c>
      <x:c r="F81" s="56" t="n">
        <x:v>46</x:v>
      </x:c>
      <x:c r="G81" s="60" t="n">
        <x:v>60</x:v>
      </x:c>
      <x:c r="H81" s="60" t="n">
        <x:v>85</x:v>
      </x:c>
      <x:c r="I81" s="34"/>
      <x:c r="J81" s="34"/>
      <x:c r="K81" s="11" t="str"/>
    </x:row>
    <x:row r="82" ht="24" customHeight="1">
      <x:c r="A82" s="20" t="str">
        <x:v>[R1-12]</x:v>
      </x:c>
      <x:c r="B82" s="20" t="str">
        <x:v>R1｜背城</x:v>
      </x:c>
      <x:c r="C82" s="20" t="str">
        <x:v>护盾持续</x:v>
      </x:c>
      <x:c r="D82" s="20" t="str">
        <x:v>秒</x:v>
      </x:c>
      <x:c r="E82" s="56" t="n">
        <x:v>5</x:v>
      </x:c>
      <x:c r="F82" s="56" t="n">
        <x:v>5</x:v>
      </x:c>
      <x:c r="G82" s="56" t="n">
        <x:v>5</x:v>
      </x:c>
      <x:c r="H82" s="56" t="n">
        <x:v>5</x:v>
      </x:c>
      <x:c r="I82" s="34"/>
      <x:c r="J82" s="34"/>
      <x:c r="K82" s="11" t="str">
        <x:v>固定参数；不随技能等级变化</x:v>
      </x:c>
    </x:row>
    <x:row r="83" ht="24" customHeight="1">
      <x:c r="A83" s="20" t="str">
        <x:v>[R1-13]</x:v>
      </x:c>
      <x:c r="B83" s="20" t="str">
        <x:v>R1｜背城</x:v>
      </x:c>
      <x:c r="C83" s="20" t="str">
        <x:v>基础冷却</x:v>
      </x:c>
      <x:c r="D83" s="20" t="str">
        <x:v>秒</x:v>
      </x:c>
      <x:c r="E83" s="56" t="n">
        <x:v>140</x:v>
      </x:c>
      <x:c r="F83" s="56" t="n">
        <x:v>132</x:v>
      </x:c>
      <x:c r="G83" s="60" t="n">
        <x:v>118</x:v>
      </x:c>
      <x:c r="H83" s="60" t="n">
        <x:v>100</x:v>
      </x:c>
      <x:c r="I83" s="34"/>
      <x:c r="J83" s="34"/>
      <x:c r="K83" s="11" t="str"/>
    </x:row>
    <x:row r="84" ht="24" customHeight="1">
      <x:c r="A84" s="30" t="str">
        <x:v>[R2-1]</x:v>
      </x:c>
      <x:c r="B84" s="30" t="str">
        <x:v>R2｜三叩天关</x:v>
      </x:c>
      <x:c r="C84" s="30" t="str">
        <x:v>攻城总窗口</x:v>
      </x:c>
      <x:c r="D84" s="30" t="str">
        <x:v>秒</x:v>
      </x:c>
      <x:c r="E84" s="56" t="n">
        <x:v>9</x:v>
      </x:c>
      <x:c r="F84" s="56" t="n">
        <x:v>9</x:v>
      </x:c>
      <x:c r="G84" s="56" t="n">
        <x:v>9</x:v>
      </x:c>
      <x:c r="H84" s="56" t="n">
        <x:v>9</x:v>
      </x:c>
      <x:c r="I84" s="34"/>
      <x:c r="J84" s="34"/>
      <x:c r="K84" s="11" t="str">
        <x:v>固定参数；不随技能等级变化</x:v>
      </x:c>
    </x:row>
    <x:row r="85" ht="24" customHeight="1">
      <x:c r="A85" s="20" t="str">
        <x:v>[R2-2]</x:v>
      </x:c>
      <x:c r="B85" s="20" t="str">
        <x:v>R2｜三叩天关</x:v>
      </x:c>
      <x:c r="C85" s="20" t="str">
        <x:v>叩关次数</x:v>
      </x:c>
      <x:c r="D85" s="20" t="str">
        <x:v>次</x:v>
      </x:c>
      <x:c r="E85" s="56" t="n">
        <x:v>3</x:v>
      </x:c>
      <x:c r="F85" s="56" t="n">
        <x:v>3</x:v>
      </x:c>
      <x:c r="G85" s="56" t="n">
        <x:v>3</x:v>
      </x:c>
      <x:c r="H85" s="56" t="n">
        <x:v>3</x:v>
      </x:c>
      <x:c r="I85" s="34"/>
      <x:c r="J85" s="34"/>
      <x:c r="K85" s="11" t="str">
        <x:v>固定参数；不随技能等级变化</x:v>
      </x:c>
    </x:row>
    <x:row r="86" ht="24" customHeight="1">
      <x:c r="A86" s="20" t="str">
        <x:v>[R2-3]</x:v>
      </x:c>
      <x:c r="B86" s="20" t="str">
        <x:v>R2｜三叩天关</x:v>
      </x:c>
      <x:c r="C86" s="20" t="str">
        <x:v>每次冲锋距离</x:v>
      </x:c>
      <x:c r="D86" s="20" t="str">
        <x:v>米</x:v>
      </x:c>
      <x:c r="E86" s="56" t="n">
        <x:v>11</x:v>
      </x:c>
      <x:c r="F86" s="56" t="n">
        <x:v>11</x:v>
      </x:c>
      <x:c r="G86" s="56" t="n">
        <x:v>11</x:v>
      </x:c>
      <x:c r="H86" s="56" t="n">
        <x:v>11</x:v>
      </x:c>
      <x:c r="I86" s="34"/>
      <x:c r="J86" s="34"/>
      <x:c r="K86" s="11" t="str">
        <x:v>固定参数；不随技能等级变化</x:v>
      </x:c>
    </x:row>
    <x:row r="87" ht="24" customHeight="1">
      <x:c r="A87" s="20" t="str">
        <x:v>[R2-4]</x:v>
      </x:c>
      <x:c r="B87" s="20" t="str">
        <x:v>R2｜三叩天关</x:v>
      </x:c>
      <x:c r="C87" s="20" t="str">
        <x:v>冲锋宽度</x:v>
      </x:c>
      <x:c r="D87" s="20" t="str">
        <x:v>米</x:v>
      </x:c>
      <x:c r="E87" s="56" t="n">
        <x:v>3</x:v>
      </x:c>
      <x:c r="F87" s="56" t="n">
        <x:v>3</x:v>
      </x:c>
      <x:c r="G87" s="56" t="n">
        <x:v>3</x:v>
      </x:c>
      <x:c r="H87" s="56" t="n">
        <x:v>3</x:v>
      </x:c>
      <x:c r="I87" s="34"/>
      <x:c r="J87" s="34"/>
      <x:c r="K87" s="11" t="str">
        <x:v>固定参数；不随技能等级变化</x:v>
      </x:c>
    </x:row>
    <x:row r="88" ht="24" customHeight="1">
      <x:c r="A88" s="20" t="str">
        <x:v>[R2-5]</x:v>
      </x:c>
      <x:c r="B88" s="20" t="str">
        <x:v>R2｜三叩天关</x:v>
      </x:c>
      <x:c r="C88" s="20" t="str">
        <x:v>单次冲锋时长</x:v>
      </x:c>
      <x:c r="D88" s="20" t="str">
        <x:v>秒</x:v>
      </x:c>
      <x:c r="E88" s="58" t="n">
        <x:v>0.65</x:v>
      </x:c>
      <x:c r="F88" s="58" t="n">
        <x:v>0.65</x:v>
      </x:c>
      <x:c r="G88" s="58" t="n">
        <x:v>0.65</x:v>
      </x:c>
      <x:c r="H88" s="58" t="n">
        <x:v>0.65</x:v>
      </x:c>
      <x:c r="I88" s="34"/>
      <x:c r="J88" s="34"/>
      <x:c r="K88" s="11" t="str">
        <x:v>固定参数；不随技能等级变化</x:v>
      </x:c>
    </x:row>
    <x:row r="89" ht="24" customHeight="1">
      <x:c r="A89" s="20" t="str">
        <x:v>[R2-6]</x:v>
      </x:c>
      <x:c r="B89" s="20" t="str">
        <x:v>R2｜三叩天关</x:v>
      </x:c>
      <x:c r="C89" s="20" t="str">
        <x:v>冲锋期间减伤</x:v>
      </x:c>
      <x:c r="D89" s="20" t="str">
        <x:v>%</x:v>
      </x:c>
      <x:c r="E89" s="56" t="n">
        <x:v>70</x:v>
      </x:c>
      <x:c r="F89" s="56" t="n">
        <x:v>73</x:v>
      </x:c>
      <x:c r="G89" s="60" t="n">
        <x:v>79</x:v>
      </x:c>
      <x:c r="H89" s="60" t="n">
        <x:v>88</x:v>
      </x:c>
      <x:c r="I89" s="34"/>
      <x:c r="J89" s="34"/>
      <x:c r="K89" s="11" t="str"/>
    </x:row>
    <x:row r="90" ht="24" customHeight="1">
      <x:c r="A90" s="20" t="str">
        <x:v>[R2-7]</x:v>
      </x:c>
      <x:c r="B90" s="20" t="str">
        <x:v>R2｜三叩天关</x:v>
      </x:c>
      <x:c r="C90" s="20" t="str">
        <x:v>每次固定伤害</x:v>
      </x:c>
      <x:c r="D90" s="20" t="str">
        <x:v>点</x:v>
      </x:c>
      <x:c r="E90" s="56" t="n">
        <x:v>80</x:v>
      </x:c>
      <x:c r="F90" s="56" t="n">
        <x:v>115</x:v>
      </x:c>
      <x:c r="G90" s="60" t="n">
        <x:v>195</x:v>
      </x:c>
      <x:c r="H90" s="60" t="n">
        <x:v>325</x:v>
      </x:c>
      <x:c r="I90" s="34"/>
      <x:c r="J90" s="34"/>
      <x:c r="K90" s="11" t="str"/>
    </x:row>
    <x:row r="91" ht="24" customHeight="1">
      <x:c r="A91" s="20" t="str">
        <x:v>[R2-8]</x:v>
      </x:c>
      <x:c r="B91" s="20" t="str">
        <x:v>R2｜三叩天关</x:v>
      </x:c>
      <x:c r="C91" s="20" t="str">
        <x:v>每次AD系数</x:v>
      </x:c>
      <x:c r="D91" s="20" t="str">
        <x:v>%AD</x:v>
      </x:c>
      <x:c r="E91" s="56" t="n">
        <x:v>110</x:v>
      </x:c>
      <x:c r="F91" s="56" t="n">
        <x:v>125</x:v>
      </x:c>
      <x:c r="G91" s="60" t="n">
        <x:v>155</x:v>
      </x:c>
      <x:c r="H91" s="60" t="n">
        <x:v>210</x:v>
      </x:c>
      <x:c r="I91" s="34"/>
      <x:c r="J91" s="34"/>
      <x:c r="K91" s="11" t="str"/>
    </x:row>
    <x:row r="92" ht="24" customHeight="1">
      <x:c r="A92" s="20" t="str">
        <x:v>[R2-9]</x:v>
      </x:c>
      <x:c r="B92" s="20" t="str">
        <x:v>R2｜三叩天关</x:v>
      </x:c>
      <x:c r="C92" s="20" t="str">
        <x:v>每次最大生命伤害比例</x:v>
      </x:c>
      <x:c r="D92" s="20" t="str">
        <x:v>%</x:v>
      </x:c>
      <x:c r="E92" s="58" t="n">
        <x:v>3</x:v>
      </x:c>
      <x:c r="F92" s="58" t="n">
        <x:v>3.5</x:v>
      </x:c>
      <x:c r="G92" s="62" t="n">
        <x:v>4.7</x:v>
      </x:c>
      <x:c r="H92" s="62" t="n">
        <x:v>6.5</x:v>
      </x:c>
      <x:c r="I92" s="34"/>
      <x:c r="J92" s="34"/>
      <x:c r="K92" s="11" t="str"/>
    </x:row>
    <x:row r="93" ht="24" customHeight="1">
      <x:c r="A93" s="20" t="str">
        <x:v>[R2-10]</x:v>
      </x:c>
      <x:c r="B93" s="20" t="str">
        <x:v>R2｜三叩天关</x:v>
      </x:c>
      <x:c r="C93" s="20" t="str">
        <x:v>撞墙震荡半径</x:v>
      </x:c>
      <x:c r="D93" s="20" t="str">
        <x:v>米</x:v>
      </x:c>
      <x:c r="E93" s="58" t="n">
        <x:v>4.5</x:v>
      </x:c>
      <x:c r="F93" s="58" t="n">
        <x:v>4.5</x:v>
      </x:c>
      <x:c r="G93" s="58" t="n">
        <x:v>4.5</x:v>
      </x:c>
      <x:c r="H93" s="58" t="n">
        <x:v>4.5</x:v>
      </x:c>
      <x:c r="I93" s="34"/>
      <x:c r="J93" s="34"/>
      <x:c r="K93" s="11" t="str">
        <x:v>固定参数；不随技能等级变化</x:v>
      </x:c>
    </x:row>
    <x:row r="94" ht="24" customHeight="1">
      <x:c r="A94" s="20" t="str">
        <x:v>[R2-11]</x:v>
      </x:c>
      <x:c r="B94" s="20" t="str">
        <x:v>R2｜三叩天关</x:v>
      </x:c>
      <x:c r="C94" s="20" t="str">
        <x:v>撞墙固定伤害</x:v>
      </x:c>
      <x:c r="D94" s="20" t="str">
        <x:v>点</x:v>
      </x:c>
      <x:c r="E94" s="56" t="n">
        <x:v>50</x:v>
      </x:c>
      <x:c r="F94" s="56" t="n">
        <x:v>75</x:v>
      </x:c>
      <x:c r="G94" s="60" t="n">
        <x:v>135</x:v>
      </x:c>
      <x:c r="H94" s="60" t="n">
        <x:v>230</x:v>
      </x:c>
      <x:c r="I94" s="34"/>
      <x:c r="J94" s="34"/>
      <x:c r="K94" s="11" t="str"/>
    </x:row>
    <x:row r="95" ht="24" customHeight="1">
      <x:c r="A95" s="20" t="str">
        <x:v>[R2-12]</x:v>
      </x:c>
      <x:c r="B95" s="20" t="str">
        <x:v>R2｜三叩天关</x:v>
      </x:c>
      <x:c r="C95" s="20" t="str">
        <x:v>撞墙AD系数</x:v>
      </x:c>
      <x:c r="D95" s="20" t="str">
        <x:v>%AD</x:v>
      </x:c>
      <x:c r="E95" s="56" t="n">
        <x:v>65</x:v>
      </x:c>
      <x:c r="F95" s="56" t="n">
        <x:v>75</x:v>
      </x:c>
      <x:c r="G95" s="60" t="n">
        <x:v>100</x:v>
      </x:c>
      <x:c r="H95" s="60" t="n">
        <x:v>145</x:v>
      </x:c>
      <x:c r="I95" s="34"/>
      <x:c r="J95" s="34"/>
      <x:c r="K95" s="11" t="str"/>
    </x:row>
    <x:row r="96" ht="24" customHeight="1">
      <x:c r="A96" s="20" t="str">
        <x:v>[R2-13]</x:v>
      </x:c>
      <x:c r="B96" s="20" t="str">
        <x:v>R2｜三叩天关</x:v>
      </x:c>
      <x:c r="C96" s="20" t="str">
        <x:v>撞墙眩晕</x:v>
      </x:c>
      <x:c r="D96" s="20" t="str">
        <x:v>秒</x:v>
      </x:c>
      <x:c r="E96" s="56" t="n">
        <x:v>1</x:v>
      </x:c>
      <x:c r="F96" s="56" t="n">
        <x:v>1</x:v>
      </x:c>
      <x:c r="G96" s="56" t="n">
        <x:v>1</x:v>
      </x:c>
      <x:c r="H96" s="56" t="n">
        <x:v>1</x:v>
      </x:c>
      <x:c r="I96" s="34"/>
      <x:c r="J96" s="34"/>
      <x:c r="K96" s="11" t="str">
        <x:v>固定参数；不随技能等级变化</x:v>
      </x:c>
    </x:row>
    <x:row r="97" ht="24" customHeight="1">
      <x:c r="A97" s="20" t="str">
        <x:v>[R2-14]</x:v>
      </x:c>
      <x:c r="B97" s="20" t="str">
        <x:v>R2｜三叩天关</x:v>
      </x:c>
      <x:c r="C97" s="20" t="str">
        <x:v>终结半径</x:v>
      </x:c>
      <x:c r="D97" s="20" t="str">
        <x:v>米</x:v>
      </x:c>
      <x:c r="E97" s="58" t="n">
        <x:v>6</x:v>
      </x:c>
      <x:c r="F97" s="58" t="n">
        <x:v>6.36</x:v>
      </x:c>
      <x:c r="G97" s="62" t="n">
        <x:v>7</x:v>
      </x:c>
      <x:c r="H97" s="62" t="n">
        <x:v>8</x:v>
      </x:c>
      <x:c r="I97" s="34"/>
      <x:c r="J97" s="34"/>
      <x:c r="K97" s="11" t="str"/>
    </x:row>
    <x:row r="98" ht="24" customHeight="1">
      <x:c r="A98" s="20" t="str">
        <x:v>[R2-15]</x:v>
      </x:c>
      <x:c r="B98" s="20" t="str">
        <x:v>R2｜三叩天关</x:v>
      </x:c>
      <x:c r="C98" s="20" t="str">
        <x:v>终结固定伤害</x:v>
      </x:c>
      <x:c r="D98" s="20" t="str">
        <x:v>点</x:v>
      </x:c>
      <x:c r="E98" s="56" t="n">
        <x:v>180</x:v>
      </x:c>
      <x:c r="F98" s="56" t="n">
        <x:v>260</x:v>
      </x:c>
      <x:c r="G98" s="60" t="n">
        <x:v>450</x:v>
      </x:c>
      <x:c r="H98" s="60" t="n">
        <x:v>780</x:v>
      </x:c>
      <x:c r="I98" s="34"/>
      <x:c r="J98" s="34"/>
      <x:c r="K98" s="11" t="str"/>
    </x:row>
    <x:row r="99" ht="24" customHeight="1">
      <x:c r="A99" s="20" t="str">
        <x:v>[R2-16]</x:v>
      </x:c>
      <x:c r="B99" s="20" t="str">
        <x:v>R2｜三叩天关</x:v>
      </x:c>
      <x:c r="C99" s="20" t="str">
        <x:v>终结AD系数</x:v>
      </x:c>
      <x:c r="D99" s="20" t="str">
        <x:v>%AD</x:v>
      </x:c>
      <x:c r="E99" s="56" t="n">
        <x:v>180</x:v>
      </x:c>
      <x:c r="F99" s="56" t="n">
        <x:v>210</x:v>
      </x:c>
      <x:c r="G99" s="60" t="n">
        <x:v>285</x:v>
      </x:c>
      <x:c r="H99" s="60" t="n">
        <x:v>400</x:v>
      </x:c>
      <x:c r="I99" s="34"/>
      <x:c r="J99" s="34"/>
      <x:c r="K99" s="11" t="str"/>
    </x:row>
    <x:row r="100" ht="24" customHeight="1">
      <x:c r="A100" s="20" t="str">
        <x:v>[R2-17]</x:v>
      </x:c>
      <x:c r="B100" s="20" t="str">
        <x:v>R2｜三叩天关</x:v>
      </x:c>
      <x:c r="C100" s="20" t="str">
        <x:v>终结最大生命伤害比例</x:v>
      </x:c>
      <x:c r="D100" s="20" t="str">
        <x:v>%</x:v>
      </x:c>
      <x:c r="E100" s="58" t="n">
        <x:v>5</x:v>
      </x:c>
      <x:c r="F100" s="58" t="n">
        <x:v>6</x:v>
      </x:c>
      <x:c r="G100" s="62" t="n">
        <x:v>8.5</x:v>
      </x:c>
      <x:c r="H100" s="62" t="n">
        <x:v>12.5</x:v>
      </x:c>
      <x:c r="I100" s="34"/>
      <x:c r="J100" s="34"/>
      <x:c r="K100" s="11" t="str"/>
    </x:row>
    <x:row r="101" ht="24" customHeight="1">
      <x:c r="A101" s="20" t="str">
        <x:v>[R2-18]</x:v>
      </x:c>
      <x:c r="B101" s="20" t="str">
        <x:v>R2｜三叩天关</x:v>
      </x:c>
      <x:c r="C101" s="20" t="str">
        <x:v>基础冷却</x:v>
      </x:c>
      <x:c r="D101" s="20" t="str">
        <x:v>秒</x:v>
      </x:c>
      <x:c r="E101" s="56" t="n">
        <x:v>145</x:v>
      </x:c>
      <x:c r="F101" s="56" t="n">
        <x:v>137</x:v>
      </x:c>
      <x:c r="G101" s="60" t="n">
        <x:v>123</x:v>
      </x:c>
      <x:c r="H101" s="60" t="n">
        <x:v>105</x:v>
      </x:c>
      <x:c r="I101" s="34"/>
      <x:c r="J101" s="34"/>
      <x:c r="K101" s="11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3ea8fceebfd432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27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37" hidden="0" customWidth="1"/>
  </x:cols>
  <x:sheetData>
    <x:row r="1" ht="36" customHeight="1">
      <x:c r="A1" s="7" t="str">
        <x:v>赫兹｜技能数值 v0.3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30" customHeight="1">
      <x:c r="A2" s="11" t="str">
        <x:v>Q/E：6档；被动/R：4档。蓝字可编辑；浅黄列为后段成长。百分比栏填100表示100%。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 ht="24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8" customHeight="1">
      <x:c r="A4" s="16" t="str">
        <x:v>占位编号</x:v>
      </x:c>
      <x:c r="B4" s="16" t="str">
        <x:v>技能</x:v>
      </x:c>
      <x:c r="C4" s="16" t="str">
        <x:v>数值项</x:v>
      </x:c>
      <x:c r="D4" s="16" t="str">
        <x:v>单位</x:v>
      </x:c>
      <x:c r="E4" s="16" t="str">
        <x:v>Lv1</x:v>
      </x:c>
      <x:c r="F4" s="16" t="str">
        <x:v>Lv2</x:v>
      </x:c>
      <x:c r="G4" s="16" t="str">
        <x:v>Lv3</x:v>
      </x:c>
      <x:c r="H4" s="16" t="str">
        <x:v>Lv4</x:v>
      </x:c>
      <x:c r="I4" s="16" t="str">
        <x:v>Lv5</x:v>
      </x:c>
      <x:c r="J4" s="16" t="str">
        <x:v>Lv6</x:v>
      </x:c>
      <x:c r="K4" s="16" t="str">
        <x:v>备注</x:v>
      </x:c>
    </x:row>
    <x:row r="5" ht="24" customHeight="1">
      <x:c r="A5" s="30" t="str">
        <x:v>[Q1-1]</x:v>
      </x:c>
      <x:c r="B5" s="30" t="str">
        <x:v>Q1｜全列齐射</x:v>
      </x:c>
      <x:c r="C5" s="30" t="str">
        <x:v>车头固定伤害</x:v>
      </x:c>
      <x:c r="D5" s="30" t="str">
        <x:v>点</x:v>
      </x:c>
      <x:c r="E5" s="56" t="n">
        <x:v>30</x:v>
      </x:c>
      <x:c r="F5" s="56" t="n">
        <x:v>40</x:v>
      </x:c>
      <x:c r="G5" s="56" t="n">
        <x:v>54</x:v>
      </x:c>
      <x:c r="H5" s="60" t="n">
        <x:v>78</x:v>
      </x:c>
      <x:c r="I5" s="60" t="n">
        <x:v>110</x:v>
      </x:c>
      <x:c r="J5" s="60" t="n">
        <x:v>150</x:v>
      </x:c>
      <x:c r="K5" s="11" t="str"/>
    </x:row>
    <x:row r="6" ht="24" customHeight="1">
      <x:c r="A6" s="20" t="str">
        <x:v>[Q1-2]</x:v>
      </x:c>
      <x:c r="B6" s="20" t="str">
        <x:v>Q1｜全列齐射</x:v>
      </x:c>
      <x:c r="C6" s="20" t="str">
        <x:v>车头AD系数</x:v>
      </x:c>
      <x:c r="D6" s="20" t="str">
        <x:v>%AD</x:v>
      </x:c>
      <x:c r="E6" s="56" t="n">
        <x:v>70</x:v>
      </x:c>
      <x:c r="F6" s="56" t="n">
        <x:v>74</x:v>
      </x:c>
      <x:c r="G6" s="56" t="n">
        <x:v>79</x:v>
      </x:c>
      <x:c r="H6" s="60" t="n">
        <x:v>88</x:v>
      </x:c>
      <x:c r="I6" s="60" t="n">
        <x:v>100</x:v>
      </x:c>
      <x:c r="J6" s="60" t="n">
        <x:v>115</x:v>
      </x:c>
      <x:c r="K6" s="11" t="str"/>
    </x:row>
    <x:row r="7" ht="24" customHeight="1">
      <x:c r="A7" s="20" t="str">
        <x:v>[Q1-3]</x:v>
      </x:c>
      <x:c r="B7" s="20" t="str">
        <x:v>Q1｜全列齐射</x:v>
      </x:c>
      <x:c r="C7" s="20" t="str">
        <x:v>每车厢固定伤害</x:v>
      </x:c>
      <x:c r="D7" s="20" t="str">
        <x:v>点</x:v>
      </x:c>
      <x:c r="E7" s="56" t="n">
        <x:v>10</x:v>
      </x:c>
      <x:c r="F7" s="56" t="n">
        <x:v>13</x:v>
      </x:c>
      <x:c r="G7" s="56" t="n">
        <x:v>18</x:v>
      </x:c>
      <x:c r="H7" s="60" t="n">
        <x:v>26</x:v>
      </x:c>
      <x:c r="I7" s="60" t="n">
        <x:v>37</x:v>
      </x:c>
      <x:c r="J7" s="60" t="n">
        <x:v>50</x:v>
      </x:c>
      <x:c r="K7" s="11" t="str"/>
    </x:row>
    <x:row r="8" ht="24" customHeight="1">
      <x:c r="A8" s="20" t="str">
        <x:v>[Q1-4]</x:v>
      </x:c>
      <x:c r="B8" s="20" t="str">
        <x:v>Q1｜全列齐射</x:v>
      </x:c>
      <x:c r="C8" s="20" t="str">
        <x:v>每车厢AD系数</x:v>
      </x:c>
      <x:c r="D8" s="20" t="str">
        <x:v>%AD</x:v>
      </x:c>
      <x:c r="E8" s="56" t="n">
        <x:v>22</x:v>
      </x:c>
      <x:c r="F8" s="56" t="n">
        <x:v>23</x:v>
      </x:c>
      <x:c r="G8" s="56" t="n">
        <x:v>25</x:v>
      </x:c>
      <x:c r="H8" s="60" t="n">
        <x:v>28</x:v>
      </x:c>
      <x:c r="I8" s="60" t="n">
        <x:v>31</x:v>
      </x:c>
      <x:c r="J8" s="60" t="n">
        <x:v>36</x:v>
      </x:c>
      <x:c r="K8" s="11" t="str"/>
    </x:row>
    <x:row r="9" ht="24" customHeight="1">
      <x:c r="A9" s="20" t="str">
        <x:v>[Q1-5]</x:v>
      </x:c>
      <x:c r="B9" s="20" t="str">
        <x:v>Q1｜全列齐射</x:v>
      </x:c>
      <x:c r="C9" s="20" t="str">
        <x:v>齐射扇面角</x:v>
      </x:c>
      <x:c r="D9" s="20" t="str">
        <x:v>度</x:v>
      </x:c>
      <x:c r="E9" s="56" t="n">
        <x:v>75</x:v>
      </x:c>
      <x:c r="F9" s="56" t="n">
        <x:v>75</x:v>
      </x:c>
      <x:c r="G9" s="56" t="n">
        <x:v>75</x:v>
      </x:c>
      <x:c r="H9" s="56" t="n">
        <x:v>75</x:v>
      </x:c>
      <x:c r="I9" s="56" t="n">
        <x:v>75</x:v>
      </x:c>
      <x:c r="J9" s="56" t="n">
        <x:v>75</x:v>
      </x:c>
      <x:c r="K9" s="11" t="str">
        <x:v>固定参数；不随技能等级变化</x:v>
      </x:c>
    </x:row>
    <x:row r="10" ht="24" customHeight="1">
      <x:c r="A10" s="20" t="str">
        <x:v>[Q1-6]</x:v>
      </x:c>
      <x:c r="B10" s="20" t="str">
        <x:v>Q1｜全列齐射</x:v>
      </x:c>
      <x:c r="C10" s="20" t="str">
        <x:v>齐射射程</x:v>
      </x:c>
      <x:c r="D10" s="20" t="str">
        <x:v>米</x:v>
      </x:c>
      <x:c r="E10" s="58" t="n">
        <x:v>9</x:v>
      </x:c>
      <x:c r="F10" s="58" t="n">
        <x:v>9.16</x:v>
      </x:c>
      <x:c r="G10" s="58" t="n">
        <x:v>9.4</x:v>
      </x:c>
      <x:c r="H10" s="62" t="n">
        <x:v>9.8</x:v>
      </x:c>
      <x:c r="I10" s="62" t="n">
        <x:v>10.34</x:v>
      </x:c>
      <x:c r="J10" s="62" t="n">
        <x:v>11</x:v>
      </x:c>
      <x:c r="K10" s="11" t="str"/>
    </x:row>
    <x:row r="11" ht="24" customHeight="1">
      <x:c r="A11" s="20" t="str">
        <x:v>[Q1-7]</x:v>
      </x:c>
      <x:c r="B11" s="20" t="str">
        <x:v>Q1｜全列齐射</x:v>
      </x:c>
      <x:c r="C11" s="20" t="str">
        <x:v>齐射炮弹速度</x:v>
      </x:c>
      <x:c r="D11" s="20" t="str">
        <x:v>米/秒</x:v>
      </x:c>
      <x:c r="E11" s="56" t="n">
        <x:v>24</x:v>
      </x:c>
      <x:c r="F11" s="56" t="n">
        <x:v>24</x:v>
      </x:c>
      <x:c r="G11" s="56" t="n">
        <x:v>24</x:v>
      </x:c>
      <x:c r="H11" s="56" t="n">
        <x:v>24</x:v>
      </x:c>
      <x:c r="I11" s="56" t="n">
        <x:v>24</x:v>
      </x:c>
      <x:c r="J11" s="56" t="n">
        <x:v>24</x:v>
      </x:c>
      <x:c r="K11" s="11" t="str">
        <x:v>固定参数；不随技能等级变化</x:v>
      </x:c>
    </x:row>
    <x:row r="12" ht="24" customHeight="1">
      <x:c r="A12" s="20" t="str">
        <x:v>[Q1-8]</x:v>
      </x:c>
      <x:c r="B12" s="20" t="str">
        <x:v>Q1｜全列齐射</x:v>
      </x:c>
      <x:c r="C12" s="20" t="str">
        <x:v>单炮爆炸半径</x:v>
      </x:c>
      <x:c r="D12" s="20" t="str">
        <x:v>米</x:v>
      </x:c>
      <x:c r="E12" s="58" t="n">
        <x:v>1.5</x:v>
      </x:c>
      <x:c r="F12" s="58" t="n">
        <x:v>1.5</x:v>
      </x:c>
      <x:c r="G12" s="58" t="n">
        <x:v>1.5</x:v>
      </x:c>
      <x:c r="H12" s="58" t="n">
        <x:v>1.5</x:v>
      </x:c>
      <x:c r="I12" s="58" t="n">
        <x:v>1.5</x:v>
      </x:c>
      <x:c r="J12" s="58" t="n">
        <x:v>1.5</x:v>
      </x:c>
      <x:c r="K12" s="11" t="str">
        <x:v>固定参数；不随技能等级变化</x:v>
      </x:c>
    </x:row>
    <x:row r="13" ht="24" customHeight="1">
      <x:c r="A13" s="20" t="str">
        <x:v>[Q1-9]</x:v>
      </x:c>
      <x:c r="B13" s="20" t="str">
        <x:v>Q1｜全列齐射</x:v>
      </x:c>
      <x:c r="C13" s="20" t="str">
        <x:v>基础冷却</x:v>
      </x:c>
      <x:c r="D13" s="20" t="str">
        <x:v>秒</x:v>
      </x:c>
      <x:c r="E13" s="58" t="n">
        <x:v>7</x:v>
      </x:c>
      <x:c r="F13" s="58" t="n">
        <x:v>6.87</x:v>
      </x:c>
      <x:c r="G13" s="58" t="n">
        <x:v>6.68</x:v>
      </x:c>
      <x:c r="H13" s="62" t="n">
        <x:v>6.36</x:v>
      </x:c>
      <x:c r="I13" s="62" t="n">
        <x:v>5.93</x:v>
      </x:c>
      <x:c r="J13" s="62" t="n">
        <x:v>5.4</x:v>
      </x:c>
      <x:c r="K13" s="11" t="str"/>
    </x:row>
    <x:row r="14" ht="24" customHeight="1">
      <x:c r="A14" s="30" t="str">
        <x:v>[Q2-1]</x:v>
      </x:c>
      <x:c r="B14" s="30" t="str">
        <x:v>Q2｜破阵列车</x:v>
      </x:c>
      <x:c r="C14" s="30" t="str">
        <x:v>冲锋距离</x:v>
      </x:c>
      <x:c r="D14" s="30" t="str">
        <x:v>米</x:v>
      </x:c>
      <x:c r="E14" s="58" t="n">
        <x:v>8</x:v>
      </x:c>
      <x:c r="F14" s="58" t="n">
        <x:v>8.2</x:v>
      </x:c>
      <x:c r="G14" s="58" t="n">
        <x:v>8.5</x:v>
      </x:c>
      <x:c r="H14" s="62" t="n">
        <x:v>9</x:v>
      </x:c>
      <x:c r="I14" s="62" t="n">
        <x:v>9.68</x:v>
      </x:c>
      <x:c r="J14" s="62" t="n">
        <x:v>10.5</x:v>
      </x:c>
      <x:c r="K14" s="11" t="str"/>
    </x:row>
    <x:row r="15" ht="24" customHeight="1">
      <x:c r="A15" s="20" t="str">
        <x:v>[Q2-2]</x:v>
      </x:c>
      <x:c r="B15" s="20" t="str">
        <x:v>Q2｜破阵列车</x:v>
      </x:c>
      <x:c r="C15" s="20" t="str">
        <x:v>冲锋时长</x:v>
      </x:c>
      <x:c r="D15" s="20" t="str">
        <x:v>秒</x:v>
      </x:c>
      <x:c r="E15" s="58" t="n">
        <x:v>0.75</x:v>
      </x:c>
      <x:c r="F15" s="58" t="n">
        <x:v>0.75</x:v>
      </x:c>
      <x:c r="G15" s="58" t="n">
        <x:v>0.75</x:v>
      </x:c>
      <x:c r="H15" s="58" t="n">
        <x:v>0.75</x:v>
      </x:c>
      <x:c r="I15" s="58" t="n">
        <x:v>0.75</x:v>
      </x:c>
      <x:c r="J15" s="58" t="n">
        <x:v>0.75</x:v>
      </x:c>
      <x:c r="K15" s="11" t="str">
        <x:v>固定参数；不随技能等级变化</x:v>
      </x:c>
    </x:row>
    <x:row r="16" ht="24" customHeight="1">
      <x:c r="A16" s="20" t="str">
        <x:v>[Q2-3]</x:v>
      </x:c>
      <x:c r="B16" s="20" t="str">
        <x:v>Q2｜破阵列车</x:v>
      </x:c>
      <x:c r="C16" s="20" t="str">
        <x:v>判定宽度</x:v>
      </x:c>
      <x:c r="D16" s="20" t="str">
        <x:v>米</x:v>
      </x:c>
      <x:c r="E16" s="58" t="n">
        <x:v>2.2</x:v>
      </x:c>
      <x:c r="F16" s="58" t="n">
        <x:v>2.2</x:v>
      </x:c>
      <x:c r="G16" s="58" t="n">
        <x:v>2.2</x:v>
      </x:c>
      <x:c r="H16" s="58" t="n">
        <x:v>2.2</x:v>
      </x:c>
      <x:c r="I16" s="58" t="n">
        <x:v>2.2</x:v>
      </x:c>
      <x:c r="J16" s="58" t="n">
        <x:v>2.2</x:v>
      </x:c>
      <x:c r="K16" s="11" t="str">
        <x:v>固定参数；不随技能等级变化</x:v>
      </x:c>
    </x:row>
    <x:row r="17" ht="24" customHeight="1">
      <x:c r="A17" s="20" t="str">
        <x:v>[Q2-4]</x:v>
      </x:c>
      <x:c r="B17" s="20" t="str">
        <x:v>Q2｜破阵列车</x:v>
      </x:c>
      <x:c r="C17" s="20" t="str">
        <x:v>车头固定伤害</x:v>
      </x:c>
      <x:c r="D17" s="20" t="str">
        <x:v>点</x:v>
      </x:c>
      <x:c r="E17" s="56" t="n">
        <x:v>30</x:v>
      </x:c>
      <x:c r="F17" s="56" t="n">
        <x:v>39</x:v>
      </x:c>
      <x:c r="G17" s="56" t="n">
        <x:v>52</x:v>
      </x:c>
      <x:c r="H17" s="60" t="n">
        <x:v>74</x:v>
      </x:c>
      <x:c r="I17" s="60" t="n">
        <x:v>104</x:v>
      </x:c>
      <x:c r="J17" s="60" t="n">
        <x:v>140</x:v>
      </x:c>
      <x:c r="K17" s="11" t="str"/>
    </x:row>
    <x:row r="18" ht="24" customHeight="1">
      <x:c r="A18" s="20" t="str">
        <x:v>[Q2-5]</x:v>
      </x:c>
      <x:c r="B18" s="20" t="str">
        <x:v>Q2｜破阵列车</x:v>
      </x:c>
      <x:c r="C18" s="20" t="str">
        <x:v>车头AD系数</x:v>
      </x:c>
      <x:c r="D18" s="20" t="str">
        <x:v>%AD</x:v>
      </x:c>
      <x:c r="E18" s="56" t="n">
        <x:v>50</x:v>
      </x:c>
      <x:c r="F18" s="56" t="n">
        <x:v>53</x:v>
      </x:c>
      <x:c r="G18" s="56" t="n">
        <x:v>57</x:v>
      </x:c>
      <x:c r="H18" s="60" t="n">
        <x:v>64</x:v>
      </x:c>
      <x:c r="I18" s="60" t="n">
        <x:v>73</x:v>
      </x:c>
      <x:c r="J18" s="60" t="n">
        <x:v>85</x:v>
      </x:c>
      <x:c r="K18" s="11" t="str"/>
    </x:row>
    <x:row r="19" ht="24" customHeight="1">
      <x:c r="A19" s="20" t="str">
        <x:v>[Q2-6]</x:v>
      </x:c>
      <x:c r="B19" s="20" t="str">
        <x:v>Q2｜破阵列车</x:v>
      </x:c>
      <x:c r="C19" s="20" t="str">
        <x:v>车厢固定伤害</x:v>
      </x:c>
      <x:c r="D19" s="20" t="str">
        <x:v>点</x:v>
      </x:c>
      <x:c r="E19" s="56" t="n">
        <x:v>12</x:v>
      </x:c>
      <x:c r="F19" s="56" t="n">
        <x:v>15</x:v>
      </x:c>
      <x:c r="G19" s="56" t="n">
        <x:v>20</x:v>
      </x:c>
      <x:c r="H19" s="60" t="n">
        <x:v>28</x:v>
      </x:c>
      <x:c r="I19" s="60" t="n">
        <x:v>39</x:v>
      </x:c>
      <x:c r="J19" s="60" t="n">
        <x:v>52</x:v>
      </x:c>
      <x:c r="K19" s="11" t="str"/>
    </x:row>
    <x:row r="20" ht="24" customHeight="1">
      <x:c r="A20" s="20" t="str">
        <x:v>[Q2-7]</x:v>
      </x:c>
      <x:c r="B20" s="20" t="str">
        <x:v>Q2｜破阵列车</x:v>
      </x:c>
      <x:c r="C20" s="20" t="str">
        <x:v>车厢AD系数</x:v>
      </x:c>
      <x:c r="D20" s="20" t="str">
        <x:v>%AD</x:v>
      </x:c>
      <x:c r="E20" s="56" t="n">
        <x:v>22</x:v>
      </x:c>
      <x:c r="F20" s="56" t="n">
        <x:v>23</x:v>
      </x:c>
      <x:c r="G20" s="56" t="n">
        <x:v>25</x:v>
      </x:c>
      <x:c r="H20" s="60" t="n">
        <x:v>28</x:v>
      </x:c>
      <x:c r="I20" s="60" t="n">
        <x:v>32</x:v>
      </x:c>
      <x:c r="J20" s="60" t="n">
        <x:v>37</x:v>
      </x:c>
      <x:c r="K20" s="11" t="str"/>
    </x:row>
    <x:row r="21" ht="24" customHeight="1">
      <x:c r="A21" s="20" t="str">
        <x:v>[Q2-8]</x:v>
      </x:c>
      <x:c r="B21" s="20" t="str">
        <x:v>Q2｜破阵列车</x:v>
      </x:c>
      <x:c r="C21" s="20" t="str">
        <x:v>精英最大受击次数</x:v>
      </x:c>
      <x:c r="D21" s="20" t="str">
        <x:v>次</x:v>
      </x:c>
      <x:c r="E21" s="56" t="n">
        <x:v>7</x:v>
      </x:c>
      <x:c r="F21" s="56" t="n">
        <x:v>7</x:v>
      </x:c>
      <x:c r="G21" s="56" t="n">
        <x:v>7</x:v>
      </x:c>
      <x:c r="H21" s="56" t="n">
        <x:v>7</x:v>
      </x:c>
      <x:c r="I21" s="56" t="n">
        <x:v>7</x:v>
      </x:c>
      <x:c r="J21" s="56" t="n">
        <x:v>7</x:v>
      </x:c>
      <x:c r="K21" s="11" t="str">
        <x:v>固定参数；不随技能等级变化</x:v>
      </x:c>
    </x:row>
    <x:row r="22" ht="24" customHeight="1">
      <x:c r="A22" s="20" t="str">
        <x:v>[Q2-9]</x:v>
      </x:c>
      <x:c r="B22" s="20" t="str">
        <x:v>Q2｜破阵列车</x:v>
      </x:c>
      <x:c r="C22" s="20" t="str">
        <x:v>Boss最大受击次数</x:v>
      </x:c>
      <x:c r="D22" s="20" t="str">
        <x:v>次</x:v>
      </x:c>
      <x:c r="E22" s="56" t="n">
        <x:v>7</x:v>
      </x:c>
      <x:c r="F22" s="56" t="n">
        <x:v>7</x:v>
      </x:c>
      <x:c r="G22" s="56" t="n">
        <x:v>7</x:v>
      </x:c>
      <x:c r="H22" s="56" t="n">
        <x:v>7</x:v>
      </x:c>
      <x:c r="I22" s="56" t="n">
        <x:v>7</x:v>
      </x:c>
      <x:c r="J22" s="56" t="n">
        <x:v>7</x:v>
      </x:c>
      <x:c r="K22" s="11" t="str">
        <x:v>固定参数；不随技能等级变化</x:v>
      </x:c>
    </x:row>
    <x:row r="23" ht="24" customHeight="1">
      <x:c r="A23" s="20" t="str">
        <x:v>[Q2-10]</x:v>
      </x:c>
      <x:c r="B23" s="20" t="str">
        <x:v>Q2｜破阵列车</x:v>
      </x:c>
      <x:c r="C23" s="20" t="str">
        <x:v>基础冷却</x:v>
      </x:c>
      <x:c r="D23" s="20" t="str">
        <x:v>秒</x:v>
      </x:c>
      <x:c r="E23" s="58" t="n">
        <x:v>10</x:v>
      </x:c>
      <x:c r="F23" s="58" t="n">
        <x:v>9.8</x:v>
      </x:c>
      <x:c r="G23" s="58" t="n">
        <x:v>9.5</x:v>
      </x:c>
      <x:c r="H23" s="62" t="n">
        <x:v>9</x:v>
      </x:c>
      <x:c r="I23" s="62" t="n">
        <x:v>8.32</x:v>
      </x:c>
      <x:c r="J23" s="62" t="n">
        <x:v>7.5</x:v>
      </x:c>
      <x:c r="K23" s="11" t="str"/>
    </x:row>
    <x:row r="24" ht="24" customHeight="1">
      <x:c r="A24" s="30" t="str">
        <x:v>[Q3-1]</x:v>
      </x:c>
      <x:c r="B24" s="30" t="str">
        <x:v>Q3｜甩尾</x:v>
      </x:c>
      <x:c r="C24" s="30" t="str">
        <x:v>横扫角度</x:v>
      </x:c>
      <x:c r="D24" s="30" t="str">
        <x:v>度</x:v>
      </x:c>
      <x:c r="E24" s="56" t="n">
        <x:v>330</x:v>
      </x:c>
      <x:c r="F24" s="56" t="n">
        <x:v>330</x:v>
      </x:c>
      <x:c r="G24" s="56" t="n">
        <x:v>330</x:v>
      </x:c>
      <x:c r="H24" s="56" t="n">
        <x:v>330</x:v>
      </x:c>
      <x:c r="I24" s="56" t="n">
        <x:v>330</x:v>
      </x:c>
      <x:c r="J24" s="56" t="n">
        <x:v>330</x:v>
      </x:c>
      <x:c r="K24" s="11" t="str">
        <x:v>固定参数；不随技能等级变化</x:v>
      </x:c>
    </x:row>
    <x:row r="25" ht="24" customHeight="1">
      <x:c r="A25" s="20" t="str">
        <x:v>[Q3-2]</x:v>
      </x:c>
      <x:c r="B25" s="20" t="str">
        <x:v>Q3｜甩尾</x:v>
      </x:c>
      <x:c r="C25" s="20" t="str">
        <x:v>横扫时长</x:v>
      </x:c>
      <x:c r="D25" s="20" t="str">
        <x:v>秒</x:v>
      </x:c>
      <x:c r="E25" s="58" t="n">
        <x:v>0.55</x:v>
      </x:c>
      <x:c r="F25" s="58" t="n">
        <x:v>0.55</x:v>
      </x:c>
      <x:c r="G25" s="58" t="n">
        <x:v>0.55</x:v>
      </x:c>
      <x:c r="H25" s="58" t="n">
        <x:v>0.55</x:v>
      </x:c>
      <x:c r="I25" s="58" t="n">
        <x:v>0.55</x:v>
      </x:c>
      <x:c r="J25" s="58" t="n">
        <x:v>0.55</x:v>
      </x:c>
      <x:c r="K25" s="11" t="str">
        <x:v>固定参数；不随技能等级变化</x:v>
      </x:c>
    </x:row>
    <x:row r="26" ht="24" customHeight="1">
      <x:c r="A26" s="20" t="str">
        <x:v>[Q3-3]</x:v>
      </x:c>
      <x:c r="B26" s="20" t="str">
        <x:v>Q3｜甩尾</x:v>
      </x:c>
      <x:c r="C26" s="20" t="str">
        <x:v>基础半径</x:v>
      </x:c>
      <x:c r="D26" s="20" t="str">
        <x:v>米</x:v>
      </x:c>
      <x:c r="E26" s="58" t="n">
        <x:v>2.5</x:v>
      </x:c>
      <x:c r="F26" s="58" t="n">
        <x:v>2.5</x:v>
      </x:c>
      <x:c r="G26" s="58" t="n">
        <x:v>2.5</x:v>
      </x:c>
      <x:c r="H26" s="58" t="n">
        <x:v>2.5</x:v>
      </x:c>
      <x:c r="I26" s="58" t="n">
        <x:v>2.5</x:v>
      </x:c>
      <x:c r="J26" s="58" t="n">
        <x:v>2.5</x:v>
      </x:c>
      <x:c r="K26" s="11" t="str">
        <x:v>固定参数；不随技能等级变化</x:v>
      </x:c>
    </x:row>
    <x:row r="27" ht="24" customHeight="1">
      <x:c r="A27" s="20" t="str">
        <x:v>[Q3-4]</x:v>
      </x:c>
      <x:c r="B27" s="20" t="str">
        <x:v>Q3｜甩尾</x:v>
      </x:c>
      <x:c r="C27" s="20" t="str">
        <x:v>额外车厢增加半径</x:v>
      </x:c>
      <x:c r="D27" s="20" t="str">
        <x:v>米</x:v>
      </x:c>
      <x:c r="E27" s="58" t="n">
        <x:v>0.5</x:v>
      </x:c>
      <x:c r="F27" s="58" t="n">
        <x:v>0.5</x:v>
      </x:c>
      <x:c r="G27" s="58" t="n">
        <x:v>0.5</x:v>
      </x:c>
      <x:c r="H27" s="58" t="n">
        <x:v>0.5</x:v>
      </x:c>
      <x:c r="I27" s="58" t="n">
        <x:v>0.5</x:v>
      </x:c>
      <x:c r="J27" s="58" t="n">
        <x:v>0.5</x:v>
      </x:c>
      <x:c r="K27" s="11" t="str">
        <x:v>固定参数；不随技能等级变化</x:v>
      </x:c>
    </x:row>
    <x:row r="28" ht="24" customHeight="1">
      <x:c r="A28" s="20" t="str">
        <x:v>[Q3-5]</x:v>
      </x:c>
      <x:c r="B28" s="20" t="str">
        <x:v>Q3｜甩尾</x:v>
      </x:c>
      <x:c r="C28" s="20" t="str">
        <x:v>主段固定伤害</x:v>
      </x:c>
      <x:c r="D28" s="20" t="str">
        <x:v>点</x:v>
      </x:c>
      <x:c r="E28" s="56" t="n">
        <x:v>50</x:v>
      </x:c>
      <x:c r="F28" s="56" t="n">
        <x:v>67</x:v>
      </x:c>
      <x:c r="G28" s="56" t="n">
        <x:v>92</x:v>
      </x:c>
      <x:c r="H28" s="60" t="n">
        <x:v>134</x:v>
      </x:c>
      <x:c r="I28" s="60" t="n">
        <x:v>191</x:v>
      </x:c>
      <x:c r="J28" s="60" t="n">
        <x:v>260</x:v>
      </x:c>
      <x:c r="K28" s="11" t="str"/>
    </x:row>
    <x:row r="29" ht="24" customHeight="1">
      <x:c r="A29" s="20" t="str">
        <x:v>[Q3-6]</x:v>
      </x:c>
      <x:c r="B29" s="20" t="str">
        <x:v>Q3｜甩尾</x:v>
      </x:c>
      <x:c r="C29" s="20" t="str">
        <x:v>主段AD系数</x:v>
      </x:c>
      <x:c r="D29" s="20" t="str">
        <x:v>%AD</x:v>
      </x:c>
      <x:c r="E29" s="56" t="n">
        <x:v>95</x:v>
      </x:c>
      <x:c r="F29" s="56" t="n">
        <x:v>100</x:v>
      </x:c>
      <x:c r="G29" s="56" t="n">
        <x:v>108</x:v>
      </x:c>
      <x:c r="H29" s="60" t="n">
        <x:v>121</x:v>
      </x:c>
      <x:c r="I29" s="60" t="n">
        <x:v>139</x:v>
      </x:c>
      <x:c r="J29" s="60" t="n">
        <x:v>160</x:v>
      </x:c>
      <x:c r="K29" s="11" t="str"/>
    </x:row>
    <x:row r="30" ht="24" customHeight="1">
      <x:c r="A30" s="20" t="str">
        <x:v>[Q3-7]</x:v>
      </x:c>
      <x:c r="B30" s="20" t="str">
        <x:v>Q3｜甩尾</x:v>
      </x:c>
      <x:c r="C30" s="20" t="str">
        <x:v>每额外车厢固定伤害</x:v>
      </x:c>
      <x:c r="D30" s="20" t="str">
        <x:v>点</x:v>
      </x:c>
      <x:c r="E30" s="56" t="n">
        <x:v>8</x:v>
      </x:c>
      <x:c r="F30" s="56" t="n">
        <x:v>10</x:v>
      </x:c>
      <x:c r="G30" s="56" t="n">
        <x:v>14</x:v>
      </x:c>
      <x:c r="H30" s="60" t="n">
        <x:v>19</x:v>
      </x:c>
      <x:c r="I30" s="60" t="n">
        <x:v>27</x:v>
      </x:c>
      <x:c r="J30" s="60" t="n">
        <x:v>36</x:v>
      </x:c>
      <x:c r="K30" s="11" t="str"/>
    </x:row>
    <x:row r="31" ht="24" customHeight="1">
      <x:c r="A31" s="20" t="str">
        <x:v>[Q3-8]</x:v>
      </x:c>
      <x:c r="B31" s="20" t="str">
        <x:v>Q3｜甩尾</x:v>
      </x:c>
      <x:c r="C31" s="20" t="str">
        <x:v>每额外车厢AD系数</x:v>
      </x:c>
      <x:c r="D31" s="20" t="str">
        <x:v>%AD</x:v>
      </x:c>
      <x:c r="E31" s="58" t="n">
        <x:v>7</x:v>
      </x:c>
      <x:c r="F31" s="58" t="n">
        <x:v>7.4</x:v>
      </x:c>
      <x:c r="G31" s="58" t="n">
        <x:v>8</x:v>
      </x:c>
      <x:c r="H31" s="62" t="n">
        <x:v>9</x:v>
      </x:c>
      <x:c r="I31" s="62" t="n">
        <x:v>10.35</x:v>
      </x:c>
      <x:c r="J31" s="62" t="n">
        <x:v>12</x:v>
      </x:c>
      <x:c r="K31" s="11" t="str"/>
    </x:row>
    <x:row r="32" ht="24" customHeight="1">
      <x:c r="A32" s="20" t="str">
        <x:v>[Q3-9]</x:v>
      </x:c>
      <x:c r="B32" s="20" t="str">
        <x:v>Q3｜甩尾</x:v>
      </x:c>
      <x:c r="C32" s="20" t="str">
        <x:v>击退距离</x:v>
      </x:c>
      <x:c r="D32" s="20" t="str">
        <x:v>米</x:v>
      </x:c>
      <x:c r="E32" s="58" t="n">
        <x:v>3</x:v>
      </x:c>
      <x:c r="F32" s="58" t="n">
        <x:v>3.12</x:v>
      </x:c>
      <x:c r="G32" s="58" t="n">
        <x:v>3.3</x:v>
      </x:c>
      <x:c r="H32" s="62" t="n">
        <x:v>3.6</x:v>
      </x:c>
      <x:c r="I32" s="62" t="n">
        <x:v>4</x:v>
      </x:c>
      <x:c r="J32" s="62" t="n">
        <x:v>4.5</x:v>
      </x:c>
      <x:c r="K32" s="11" t="str"/>
    </x:row>
    <x:row r="33" ht="24" customHeight="1">
      <x:c r="A33" s="20" t="str">
        <x:v>[Q3-10]</x:v>
      </x:c>
      <x:c r="B33" s="20" t="str">
        <x:v>Q3｜甩尾</x:v>
      </x:c>
      <x:c r="C33" s="20" t="str">
        <x:v>击退时长</x:v>
      </x:c>
      <x:c r="D33" s="20" t="str">
        <x:v>秒</x:v>
      </x:c>
      <x:c r="E33" s="58" t="n">
        <x:v>0.4</x:v>
      </x:c>
      <x:c r="F33" s="58" t="n">
        <x:v>0.4</x:v>
      </x:c>
      <x:c r="G33" s="58" t="n">
        <x:v>0.4</x:v>
      </x:c>
      <x:c r="H33" s="58" t="n">
        <x:v>0.4</x:v>
      </x:c>
      <x:c r="I33" s="58" t="n">
        <x:v>0.4</x:v>
      </x:c>
      <x:c r="J33" s="58" t="n">
        <x:v>0.4</x:v>
      </x:c>
      <x:c r="K33" s="11" t="str">
        <x:v>固定参数；不随技能等级变化</x:v>
      </x:c>
    </x:row>
    <x:row r="34" ht="24" customHeight="1">
      <x:c r="A34" s="20" t="str">
        <x:v>[Q3-11]</x:v>
      </x:c>
      <x:c r="B34" s="20" t="str">
        <x:v>Q3｜甩尾</x:v>
      </x:c>
      <x:c r="C34" s="20" t="str">
        <x:v>基础冷却</x:v>
      </x:c>
      <x:c r="D34" s="20" t="str">
        <x:v>秒</x:v>
      </x:c>
      <x:c r="E34" s="58" t="n">
        <x:v>9</x:v>
      </x:c>
      <x:c r="F34" s="58" t="n">
        <x:v>8.82</x:v>
      </x:c>
      <x:c r="G34" s="58" t="n">
        <x:v>8.56</x:v>
      </x:c>
      <x:c r="H34" s="62" t="n">
        <x:v>8.12</x:v>
      </x:c>
      <x:c r="I34" s="62" t="n">
        <x:v>7.53</x:v>
      </x:c>
      <x:c r="J34" s="62" t="n">
        <x:v>6.8</x:v>
      </x:c>
      <x:c r="K34" s="11" t="str"/>
    </x:row>
    <x:row r="35" ht="24" customHeight="1">
      <x:c r="A35" s="30" t="str">
        <x:v>[E1-1]</x:v>
      </x:c>
      <x:c r="B35" s="30" t="str">
        <x:v>E1｜断尾</x:v>
      </x:c>
      <x:c r="C35" s="30" t="str">
        <x:v>解挂车厢数</x:v>
      </x:c>
      <x:c r="D35" s="30" t="str">
        <x:v>节</x:v>
      </x:c>
      <x:c r="E35" s="56" t="n">
        <x:v>1</x:v>
      </x:c>
      <x:c r="F35" s="56" t="n">
        <x:v>1</x:v>
      </x:c>
      <x:c r="G35" s="56" t="n">
        <x:v>1</x:v>
      </x:c>
      <x:c r="H35" s="56" t="n">
        <x:v>1</x:v>
      </x:c>
      <x:c r="I35" s="56" t="n">
        <x:v>1</x:v>
      </x:c>
      <x:c r="J35" s="56" t="n">
        <x:v>1</x:v>
      </x:c>
      <x:c r="K35" s="11" t="str">
        <x:v>固定参数；不随技能等级变化</x:v>
      </x:c>
    </x:row>
    <x:row r="36" ht="24" customHeight="1">
      <x:c r="A36" s="20" t="str">
        <x:v>[E1-2]</x:v>
      </x:c>
      <x:c r="B36" s="20" t="str">
        <x:v>E1｜断尾</x:v>
      </x:c>
      <x:c r="C36" s="20" t="str">
        <x:v>正常不可选中时长</x:v>
      </x:c>
      <x:c r="D36" s="20" t="str">
        <x:v>秒</x:v>
      </x:c>
      <x:c r="E36" s="58" t="n">
        <x:v>0.45</x:v>
      </x:c>
      <x:c r="F36" s="58" t="n">
        <x:v>0.46</x:v>
      </x:c>
      <x:c r="G36" s="58" t="n">
        <x:v>0.48</x:v>
      </x:c>
      <x:c r="H36" s="62" t="n">
        <x:v>0.51</x:v>
      </x:c>
      <x:c r="I36" s="62" t="n">
        <x:v>0.55</x:v>
      </x:c>
      <x:c r="J36" s="62" t="n">
        <x:v>0.6</x:v>
      </x:c>
      <x:c r="K36" s="11" t="str"/>
    </x:row>
    <x:row r="37" ht="24" customHeight="1">
      <x:c r="A37" s="20" t="str">
        <x:v>[E1-3]</x:v>
      </x:c>
      <x:c r="B37" s="20" t="str">
        <x:v>E1｜断尾</x:v>
      </x:c>
      <x:c r="C37" s="20" t="str">
        <x:v>正常移速加成</x:v>
      </x:c>
      <x:c r="D37" s="20" t="str">
        <x:v>%</x:v>
      </x:c>
      <x:c r="E37" s="56" t="n">
        <x:v>35</x:v>
      </x:c>
      <x:c r="F37" s="56" t="n">
        <x:v>37</x:v>
      </x:c>
      <x:c r="G37" s="56" t="n">
        <x:v>39</x:v>
      </x:c>
      <x:c r="H37" s="60" t="n">
        <x:v>43</x:v>
      </x:c>
      <x:c r="I37" s="60" t="n">
        <x:v>48</x:v>
      </x:c>
      <x:c r="J37" s="60" t="n">
        <x:v>55</x:v>
      </x:c>
      <x:c r="K37" s="11" t="str"/>
    </x:row>
    <x:row r="38" ht="24" customHeight="1">
      <x:c r="A38" s="20" t="str">
        <x:v>[E1-4]</x:v>
      </x:c>
      <x:c r="B38" s="20" t="str">
        <x:v>E1｜断尾</x:v>
      </x:c>
      <x:c r="C38" s="20" t="str">
        <x:v>正常移速持续</x:v>
      </x:c>
      <x:c r="D38" s="20" t="str">
        <x:v>秒</x:v>
      </x:c>
      <x:c r="E38" s="56" t="n">
        <x:v>2</x:v>
      </x:c>
      <x:c r="F38" s="56" t="n">
        <x:v>2</x:v>
      </x:c>
      <x:c r="G38" s="56" t="n">
        <x:v>2</x:v>
      </x:c>
      <x:c r="H38" s="56" t="n">
        <x:v>2</x:v>
      </x:c>
      <x:c r="I38" s="56" t="n">
        <x:v>2</x:v>
      </x:c>
      <x:c r="J38" s="56" t="n">
        <x:v>2</x:v>
      </x:c>
      <x:c r="K38" s="11" t="str">
        <x:v>固定参数；不随技能等级变化</x:v>
      </x:c>
    </x:row>
    <x:row r="39" ht="24" customHeight="1">
      <x:c r="A39" s="20" t="str">
        <x:v>[E1-5]</x:v>
      </x:c>
      <x:c r="B39" s="20" t="str">
        <x:v>E1｜断尾</x:v>
      </x:c>
      <x:c r="C39" s="20" t="str">
        <x:v>脱离车厢速度</x:v>
      </x:c>
      <x:c r="D39" s="20" t="str">
        <x:v>米/秒</x:v>
      </x:c>
      <x:c r="E39" s="56" t="n">
        <x:v>16</x:v>
      </x:c>
      <x:c r="F39" s="56" t="n">
        <x:v>16</x:v>
      </x:c>
      <x:c r="G39" s="56" t="n">
        <x:v>16</x:v>
      </x:c>
      <x:c r="H39" s="56" t="n">
        <x:v>16</x:v>
      </x:c>
      <x:c r="I39" s="56" t="n">
        <x:v>16</x:v>
      </x:c>
      <x:c r="J39" s="56" t="n">
        <x:v>16</x:v>
      </x:c>
      <x:c r="K39" s="11" t="str">
        <x:v>固定参数；不随技能等级变化</x:v>
      </x:c>
    </x:row>
    <x:row r="40" ht="24" customHeight="1">
      <x:c r="A40" s="20" t="str">
        <x:v>[E1-6]</x:v>
      </x:c>
      <x:c r="B40" s="20" t="str">
        <x:v>E1｜断尾</x:v>
      </x:c>
      <x:c r="C40" s="20" t="str">
        <x:v>脱离车厢寿命</x:v>
      </x:c>
      <x:c r="D40" s="20" t="str">
        <x:v>秒</x:v>
      </x:c>
      <x:c r="E40" s="58" t="n">
        <x:v>1.5</x:v>
      </x:c>
      <x:c r="F40" s="58" t="n">
        <x:v>1.5</x:v>
      </x:c>
      <x:c r="G40" s="58" t="n">
        <x:v>1.5</x:v>
      </x:c>
      <x:c r="H40" s="58" t="n">
        <x:v>1.5</x:v>
      </x:c>
      <x:c r="I40" s="58" t="n">
        <x:v>1.5</x:v>
      </x:c>
      <x:c r="J40" s="58" t="n">
        <x:v>1.5</x:v>
      </x:c>
      <x:c r="K40" s="11" t="str">
        <x:v>固定参数；不随技能等级变化</x:v>
      </x:c>
    </x:row>
    <x:row r="41" ht="24" customHeight="1">
      <x:c r="A41" s="20" t="str">
        <x:v>[E1-7]</x:v>
      </x:c>
      <x:c r="B41" s="20" t="str">
        <x:v>E1｜断尾</x:v>
      </x:c>
      <x:c r="C41" s="20" t="str">
        <x:v>爆炸半径</x:v>
      </x:c>
      <x:c r="D41" s="20" t="str">
        <x:v>米</x:v>
      </x:c>
      <x:c r="E41" s="58" t="n">
        <x:v>3</x:v>
      </x:c>
      <x:c r="F41" s="58" t="n">
        <x:v>3.1</x:v>
      </x:c>
      <x:c r="G41" s="58" t="n">
        <x:v>3.24</x:v>
      </x:c>
      <x:c r="H41" s="62" t="n">
        <x:v>3.48</x:v>
      </x:c>
      <x:c r="I41" s="62" t="n">
        <x:v>3.8</x:v>
      </x:c>
      <x:c r="J41" s="62" t="n">
        <x:v>4.2</x:v>
      </x:c>
      <x:c r="K41" s="11" t="str"/>
    </x:row>
    <x:row r="42" ht="24" customHeight="1">
      <x:c r="A42" s="20" t="str">
        <x:v>[E1-8]</x:v>
      </x:c>
      <x:c r="B42" s="20" t="str">
        <x:v>E1｜断尾</x:v>
      </x:c>
      <x:c r="C42" s="20" t="str">
        <x:v>爆炸固定伤害</x:v>
      </x:c>
      <x:c r="D42" s="20" t="str">
        <x:v>点</x:v>
      </x:c>
      <x:c r="E42" s="56" t="n">
        <x:v>70</x:v>
      </x:c>
      <x:c r="F42" s="56" t="n">
        <x:v>92</x:v>
      </x:c>
      <x:c r="G42" s="56" t="n">
        <x:v>124</x:v>
      </x:c>
      <x:c r="H42" s="60" t="n">
        <x:v>178</x:v>
      </x:c>
      <x:c r="I42" s="60" t="n">
        <x:v>251</x:v>
      </x:c>
      <x:c r="J42" s="60" t="n">
        <x:v>340</x:v>
      </x:c>
      <x:c r="K42" s="11" t="str"/>
    </x:row>
    <x:row r="43" ht="24" customHeight="1">
      <x:c r="A43" s="20" t="str">
        <x:v>[E1-9]</x:v>
      </x:c>
      <x:c r="B43" s="20" t="str">
        <x:v>E1｜断尾</x:v>
      </x:c>
      <x:c r="C43" s="20" t="str">
        <x:v>爆炸AD系数</x:v>
      </x:c>
      <x:c r="D43" s="20" t="str">
        <x:v>%AD</x:v>
      </x:c>
      <x:c r="E43" s="56" t="n">
        <x:v>90</x:v>
      </x:c>
      <x:c r="F43" s="56" t="n">
        <x:v>96</x:v>
      </x:c>
      <x:c r="G43" s="56" t="n">
        <x:v>105</x:v>
      </x:c>
      <x:c r="H43" s="60" t="n">
        <x:v>120</x:v>
      </x:c>
      <x:c r="I43" s="60" t="n">
        <x:v>140</x:v>
      </x:c>
      <x:c r="J43" s="60" t="n">
        <x:v>165</x:v>
      </x:c>
      <x:c r="K43" s="11" t="str"/>
    </x:row>
    <x:row r="44" ht="24" customHeight="1">
      <x:c r="A44" s="20" t="str">
        <x:v>[E1-10]</x:v>
      </x:c>
      <x:c r="B44" s="20" t="str">
        <x:v>E1｜断尾</x:v>
      </x:c>
      <x:c r="C44" s="20" t="str">
        <x:v>最低编组不可选中</x:v>
      </x:c>
      <x:c r="D44" s="20" t="str">
        <x:v>秒</x:v>
      </x:c>
      <x:c r="E44" s="58" t="n">
        <x:v>0.2</x:v>
      </x:c>
      <x:c r="F44" s="58" t="n">
        <x:v>0.2</x:v>
      </x:c>
      <x:c r="G44" s="58" t="n">
        <x:v>0.2</x:v>
      </x:c>
      <x:c r="H44" s="58" t="n">
        <x:v>0.2</x:v>
      </x:c>
      <x:c r="I44" s="58" t="n">
        <x:v>0.2</x:v>
      </x:c>
      <x:c r="J44" s="58" t="n">
        <x:v>0.2</x:v>
      </x:c>
      <x:c r="K44" s="11" t="str">
        <x:v>固定参数；不随技能等级变化</x:v>
      </x:c>
    </x:row>
    <x:row r="45" ht="24" customHeight="1">
      <x:c r="A45" s="20" t="str">
        <x:v>[E1-11]</x:v>
      </x:c>
      <x:c r="B45" s="20" t="str">
        <x:v>E1｜断尾</x:v>
      </x:c>
      <x:c r="C45" s="20" t="str">
        <x:v>最低编组移速加成</x:v>
      </x:c>
      <x:c r="D45" s="20" t="str">
        <x:v>%</x:v>
      </x:c>
      <x:c r="E45" s="56" t="n">
        <x:v>20</x:v>
      </x:c>
      <x:c r="F45" s="56" t="n">
        <x:v>20</x:v>
      </x:c>
      <x:c r="G45" s="56" t="n">
        <x:v>20</x:v>
      </x:c>
      <x:c r="H45" s="56" t="n">
        <x:v>20</x:v>
      </x:c>
      <x:c r="I45" s="56" t="n">
        <x:v>20</x:v>
      </x:c>
      <x:c r="J45" s="56" t="n">
        <x:v>20</x:v>
      </x:c>
      <x:c r="K45" s="11" t="str">
        <x:v>固定参数；不随技能等级变化</x:v>
      </x:c>
    </x:row>
    <x:row r="46" ht="24" customHeight="1">
      <x:c r="A46" s="20" t="str">
        <x:v>[E1-12]</x:v>
      </x:c>
      <x:c r="B46" s="20" t="str">
        <x:v>E1｜断尾</x:v>
      </x:c>
      <x:c r="C46" s="20" t="str">
        <x:v>最低编组移速持续</x:v>
      </x:c>
      <x:c r="D46" s="20" t="str">
        <x:v>秒</x:v>
      </x:c>
      <x:c r="E46" s="58" t="n">
        <x:v>1.2</x:v>
      </x:c>
      <x:c r="F46" s="58" t="n">
        <x:v>1.2</x:v>
      </x:c>
      <x:c r="G46" s="58" t="n">
        <x:v>1.2</x:v>
      </x:c>
      <x:c r="H46" s="58" t="n">
        <x:v>1.2</x:v>
      </x:c>
      <x:c r="I46" s="58" t="n">
        <x:v>1.2</x:v>
      </x:c>
      <x:c r="J46" s="58" t="n">
        <x:v>1.2</x:v>
      </x:c>
      <x:c r="K46" s="11" t="str">
        <x:v>固定参数；不随技能等级变化</x:v>
      </x:c>
    </x:row>
    <x:row r="47" ht="24" customHeight="1">
      <x:c r="A47" s="20" t="str">
        <x:v>[E1-13]</x:v>
      </x:c>
      <x:c r="B47" s="20" t="str">
        <x:v>E1｜断尾</x:v>
      </x:c>
      <x:c r="C47" s="20" t="str">
        <x:v>基础冷却</x:v>
      </x:c>
      <x:c r="D47" s="20" t="str">
        <x:v>秒</x:v>
      </x:c>
      <x:c r="E47" s="58" t="n">
        <x:v>11</x:v>
      </x:c>
      <x:c r="F47" s="58" t="n">
        <x:v>10.8</x:v>
      </x:c>
      <x:c r="G47" s="58" t="n">
        <x:v>10.5</x:v>
      </x:c>
      <x:c r="H47" s="62" t="n">
        <x:v>10</x:v>
      </x:c>
      <x:c r="I47" s="62" t="n">
        <x:v>9.32</x:v>
      </x:c>
      <x:c r="J47" s="62" t="n">
        <x:v>8.5</x:v>
      </x:c>
      <x:c r="K47" s="11" t="str"/>
    </x:row>
    <x:row r="48" ht="24" customHeight="1">
      <x:c r="A48" s="30" t="str">
        <x:v>[E2-1]</x:v>
      </x:c>
      <x:c r="B48" s="30" t="str">
        <x:v>E2｜紧急制动</x:v>
      </x:c>
      <x:c r="C48" s="30" t="str">
        <x:v>制动持续</x:v>
      </x:c>
      <x:c r="D48" s="30" t="str">
        <x:v>秒</x:v>
      </x:c>
      <x:c r="E48" s="56" t="n">
        <x:v>1</x:v>
      </x:c>
      <x:c r="F48" s="56" t="n">
        <x:v>1</x:v>
      </x:c>
      <x:c r="G48" s="56" t="n">
        <x:v>1</x:v>
      </x:c>
      <x:c r="H48" s="56" t="n">
        <x:v>1</x:v>
      </x:c>
      <x:c r="I48" s="56" t="n">
        <x:v>1</x:v>
      </x:c>
      <x:c r="J48" s="56" t="n">
        <x:v>1</x:v>
      </x:c>
      <x:c r="K48" s="11" t="str">
        <x:v>固定参数；不随技能等级变化</x:v>
      </x:c>
    </x:row>
    <x:row r="49" ht="24" customHeight="1">
      <x:c r="A49" s="20" t="str">
        <x:v>[E2-2]</x:v>
      </x:c>
      <x:c r="B49" s="20" t="str">
        <x:v>E2｜紧急制动</x:v>
      </x:c>
      <x:c r="C49" s="20" t="str">
        <x:v>韧性设定</x:v>
      </x:c>
      <x:c r="D49" s="20" t="str">
        <x:v>%</x:v>
      </x:c>
      <x:c r="E49" s="56" t="n">
        <x:v>100</x:v>
      </x:c>
      <x:c r="F49" s="56" t="n">
        <x:v>100</x:v>
      </x:c>
      <x:c r="G49" s="56" t="n">
        <x:v>100</x:v>
      </x:c>
      <x:c r="H49" s="56" t="n">
        <x:v>100</x:v>
      </x:c>
      <x:c r="I49" s="56" t="n">
        <x:v>100</x:v>
      </x:c>
      <x:c r="J49" s="56" t="n">
        <x:v>100</x:v>
      </x:c>
      <x:c r="K49" s="11" t="str">
        <x:v>固定参数；不随技能等级变化</x:v>
      </x:c>
    </x:row>
    <x:row r="50" ht="24" customHeight="1">
      <x:c r="A50" s="20" t="str">
        <x:v>[E2-3]</x:v>
      </x:c>
      <x:c r="B50" s="20" t="str">
        <x:v>E2｜紧急制动</x:v>
      </x:c>
      <x:c r="C50" s="20" t="str">
        <x:v>最终减伤</x:v>
      </x:c>
      <x:c r="D50" s="20" t="str">
        <x:v>%</x:v>
      </x:c>
      <x:c r="E50" s="56" t="n">
        <x:v>75</x:v>
      </x:c>
      <x:c r="F50" s="56" t="n">
        <x:v>76</x:v>
      </x:c>
      <x:c r="G50" s="56" t="n">
        <x:v>77</x:v>
      </x:c>
      <x:c r="H50" s="60" t="n">
        <x:v>79</x:v>
      </x:c>
      <x:c r="I50" s="60" t="n">
        <x:v>82</x:v>
      </x:c>
      <x:c r="J50" s="60" t="n">
        <x:v>85</x:v>
      </x:c>
      <x:c r="K50" s="11" t="str"/>
    </x:row>
    <x:row r="51" ht="24" customHeight="1">
      <x:c r="A51" s="20" t="str">
        <x:v>[E2-4]</x:v>
      </x:c>
      <x:c r="B51" s="20" t="str">
        <x:v>E2｜紧急制动</x:v>
      </x:c>
      <x:c r="C51" s="20" t="str">
        <x:v>冲击半径</x:v>
      </x:c>
      <x:c r="D51" s="20" t="str">
        <x:v>米</x:v>
      </x:c>
      <x:c r="E51" s="58" t="n">
        <x:v>3.6</x:v>
      </x:c>
      <x:c r="F51" s="58" t="n">
        <x:v>3.7</x:v>
      </x:c>
      <x:c r="G51" s="58" t="n">
        <x:v>3.84</x:v>
      </x:c>
      <x:c r="H51" s="62" t="n">
        <x:v>4.08</x:v>
      </x:c>
      <x:c r="I51" s="62" t="n">
        <x:v>4.4</x:v>
      </x:c>
      <x:c r="J51" s="62" t="n">
        <x:v>4.8</x:v>
      </x:c>
      <x:c r="K51" s="11" t="str"/>
    </x:row>
    <x:row r="52" ht="24" customHeight="1">
      <x:c r="A52" s="20" t="str">
        <x:v>[E2-5]</x:v>
      </x:c>
      <x:c r="B52" s="20" t="str">
        <x:v>E2｜紧急制动</x:v>
      </x:c>
      <x:c r="C52" s="20" t="str">
        <x:v>冲击固定伤害</x:v>
      </x:c>
      <x:c r="D52" s="20" t="str">
        <x:v>点</x:v>
      </x:c>
      <x:c r="E52" s="56" t="n">
        <x:v>45</x:v>
      </x:c>
      <x:c r="F52" s="56" t="n">
        <x:v>61</x:v>
      </x:c>
      <x:c r="G52" s="56" t="n">
        <x:v>85</x:v>
      </x:c>
      <x:c r="H52" s="60" t="n">
        <x:v>125</x:v>
      </x:c>
      <x:c r="I52" s="60" t="n">
        <x:v>179</x:v>
      </x:c>
      <x:c r="J52" s="60" t="n">
        <x:v>245</x:v>
      </x:c>
      <x:c r="K52" s="11" t="str"/>
    </x:row>
    <x:row r="53" ht="24" customHeight="1">
      <x:c r="A53" s="20" t="str">
        <x:v>[E2-6]</x:v>
      </x:c>
      <x:c r="B53" s="20" t="str">
        <x:v>E2｜紧急制动</x:v>
      </x:c>
      <x:c r="C53" s="20" t="str">
        <x:v>冲击AD系数</x:v>
      </x:c>
      <x:c r="D53" s="20" t="str">
        <x:v>%AD</x:v>
      </x:c>
      <x:c r="E53" s="56" t="n">
        <x:v>60</x:v>
      </x:c>
      <x:c r="F53" s="56" t="n">
        <x:v>64</x:v>
      </x:c>
      <x:c r="G53" s="56" t="n">
        <x:v>71</x:v>
      </x:c>
      <x:c r="H53" s="60" t="n">
        <x:v>82</x:v>
      </x:c>
      <x:c r="I53" s="60" t="n">
        <x:v>97</x:v>
      </x:c>
      <x:c r="J53" s="60" t="n">
        <x:v>115</x:v>
      </x:c>
      <x:c r="K53" s="11" t="str"/>
    </x:row>
    <x:row r="54" ht="24" customHeight="1">
      <x:c r="A54" s="20" t="str">
        <x:v>[E2-7]</x:v>
      </x:c>
      <x:c r="B54" s="20" t="str">
        <x:v>E2｜紧急制动</x:v>
      </x:c>
      <x:c r="C54" s="20" t="str">
        <x:v>压力转伤比例</x:v>
      </x:c>
      <x:c r="D54" s="20" t="str">
        <x:v>%</x:v>
      </x:c>
      <x:c r="E54" s="56" t="n">
        <x:v>20</x:v>
      </x:c>
      <x:c r="F54" s="56" t="n">
        <x:v>22</x:v>
      </x:c>
      <x:c r="G54" s="56" t="n">
        <x:v>24</x:v>
      </x:c>
      <x:c r="H54" s="60" t="n">
        <x:v>28</x:v>
      </x:c>
      <x:c r="I54" s="60" t="n">
        <x:v>33</x:v>
      </x:c>
      <x:c r="J54" s="60" t="n">
        <x:v>40</x:v>
      </x:c>
      <x:c r="K54" s="11" t="str"/>
    </x:row>
    <x:row r="55" ht="24" customHeight="1">
      <x:c r="A55" s="20" t="str">
        <x:v>[E2-8]</x:v>
      </x:c>
      <x:c r="B55" s="20" t="str">
        <x:v>E2｜紧急制动</x:v>
      </x:c>
      <x:c r="C55" s="20" t="str">
        <x:v>压力伤害最大生命上限</x:v>
      </x:c>
      <x:c r="D55" s="20" t="str">
        <x:v>%</x:v>
      </x:c>
      <x:c r="E55" s="56" t="n">
        <x:v>20</x:v>
      </x:c>
      <x:c r="F55" s="56" t="n">
        <x:v>22</x:v>
      </x:c>
      <x:c r="G55" s="56" t="n">
        <x:v>24</x:v>
      </x:c>
      <x:c r="H55" s="60" t="n">
        <x:v>28</x:v>
      </x:c>
      <x:c r="I55" s="60" t="n">
        <x:v>33</x:v>
      </x:c>
      <x:c r="J55" s="60" t="n">
        <x:v>40</x:v>
      </x:c>
      <x:c r="K55" s="11" t="str"/>
    </x:row>
    <x:row r="56" ht="24" customHeight="1">
      <x:c r="A56" s="20" t="str">
        <x:v>[E2-9]</x:v>
      </x:c>
      <x:c r="B56" s="20" t="str">
        <x:v>E2｜紧急制动</x:v>
      </x:c>
      <x:c r="C56" s="20" t="str">
        <x:v>基础冷却</x:v>
      </x:c>
      <x:c r="D56" s="20" t="str">
        <x:v>秒</x:v>
      </x:c>
      <x:c r="E56" s="58" t="n">
        <x:v>17</x:v>
      </x:c>
      <x:c r="F56" s="58" t="n">
        <x:v>16.68</x:v>
      </x:c>
      <x:c r="G56" s="58" t="n">
        <x:v>16.2</x:v>
      </x:c>
      <x:c r="H56" s="62" t="n">
        <x:v>15.4</x:v>
      </x:c>
      <x:c r="I56" s="62" t="n">
        <x:v>14.32</x:v>
      </x:c>
      <x:c r="J56" s="62" t="n">
        <x:v>13</x:v>
      </x:c>
      <x:c r="K56" s="11" t="str"/>
    </x:row>
    <x:row r="57" ht="24" customHeight="1">
      <x:c r="A57" s="30" t="str">
        <x:v>[E3-1]</x:v>
      </x:c>
      <x:c r="B57" s="30" t="str">
        <x:v>E3｜战地检修</x:v>
      </x:c>
      <x:c r="C57" s="30" t="str">
        <x:v>检修固定持续</x:v>
      </x:c>
      <x:c r="D57" s="30" t="str">
        <x:v>秒</x:v>
      </x:c>
      <x:c r="E57" s="56" t="n">
        <x:v>6</x:v>
      </x:c>
      <x:c r="F57" s="56" t="n">
        <x:v>6</x:v>
      </x:c>
      <x:c r="G57" s="56" t="n">
        <x:v>6</x:v>
      </x:c>
      <x:c r="H57" s="56" t="n">
        <x:v>6</x:v>
      </x:c>
      <x:c r="I57" s="56" t="n">
        <x:v>6</x:v>
      </x:c>
      <x:c r="J57" s="56" t="n">
        <x:v>6</x:v>
      </x:c>
      <x:c r="K57" s="11" t="str">
        <x:v>固定参数；不随技能等级变化</x:v>
      </x:c>
    </x:row>
    <x:row r="58" ht="24" customHeight="1">
      <x:c r="A58" s="20" t="str">
        <x:v>[E3-2]</x:v>
      </x:c>
      <x:c r="B58" s="20" t="str">
        <x:v>E3｜战地检修</x:v>
      </x:c>
      <x:c r="C58" s="20" t="str">
        <x:v>满编总恢复最大生命比例</x:v>
      </x:c>
      <x:c r="D58" s="20" t="str">
        <x:v>%</x:v>
      </x:c>
      <x:c r="E58" s="56" t="n">
        <x:v>18</x:v>
      </x:c>
      <x:c r="F58" s="56" t="n">
        <x:v>20</x:v>
      </x:c>
      <x:c r="G58" s="56" t="n">
        <x:v>23</x:v>
      </x:c>
      <x:c r="H58" s="60" t="n">
        <x:v>28</x:v>
      </x:c>
      <x:c r="I58" s="60" t="n">
        <x:v>36</x:v>
      </x:c>
      <x:c r="J58" s="60" t="n">
        <x:v>46</x:v>
      </x:c>
      <x:c r="K58" s="11" t="str"/>
    </x:row>
    <x:row r="59" ht="24" customHeight="1">
      <x:c r="A59" s="20" t="str">
        <x:v>[E3-3]</x:v>
      </x:c>
      <x:c r="B59" s="20" t="str">
        <x:v>E3｜战地检修</x:v>
      </x:c>
      <x:c r="C59" s="20" t="str">
        <x:v>基础生命恢复效果提高</x:v>
      </x:c>
      <x:c r="D59" s="20" t="str">
        <x:v>%</x:v>
      </x:c>
      <x:c r="E59" s="56" t="n">
        <x:v>40</x:v>
      </x:c>
      <x:c r="F59" s="56" t="n">
        <x:v>45</x:v>
      </x:c>
      <x:c r="G59" s="56" t="n">
        <x:v>52</x:v>
      </x:c>
      <x:c r="H59" s="60" t="n">
        <x:v>64</x:v>
      </x:c>
      <x:c r="I59" s="60" t="n">
        <x:v>80</x:v>
      </x:c>
      <x:c r="J59" s="60" t="n">
        <x:v>100</x:v>
      </x:c>
      <x:c r="K59" s="11" t="str"/>
    </x:row>
    <x:row r="60" ht="24" customHeight="1">
      <x:c r="A60" s="20" t="str">
        <x:v>[E3-4]</x:v>
      </x:c>
      <x:c r="B60" s="20" t="str">
        <x:v>E3｜战地检修</x:v>
      </x:c>
      <x:c r="C60" s="20" t="str">
        <x:v>基础冷却</x:v>
      </x:c>
      <x:c r="D60" s="20" t="str">
        <x:v>秒</x:v>
      </x:c>
      <x:c r="E60" s="58" t="n">
        <x:v>25</x:v>
      </x:c>
      <x:c r="F60" s="58" t="n">
        <x:v>24.52</x:v>
      </x:c>
      <x:c r="G60" s="58" t="n">
        <x:v>23.8</x:v>
      </x:c>
      <x:c r="H60" s="62" t="n">
        <x:v>22.6</x:v>
      </x:c>
      <x:c r="I60" s="62" t="n">
        <x:v>20.98</x:v>
      </x:c>
      <x:c r="J60" s="62" t="n">
        <x:v>19</x:v>
      </x:c>
      <x:c r="K60" s="11" t="str"/>
    </x:row>
    <x:row r="61" ht="24" customHeight="1">
      <x:c r="A61" s="30" t="str">
        <x:v>[P1-1]</x:v>
      </x:c>
      <x:c r="B61" s="30" t="str">
        <x:v>P1｜重载</x:v>
      </x:c>
      <x:c r="C61" s="30" t="str">
        <x:v>成长车厢计数单位</x:v>
      </x:c>
      <x:c r="D61" s="30" t="str">
        <x:v>节</x:v>
      </x:c>
      <x:c r="E61" s="56" t="n">
        <x:v>1</x:v>
      </x:c>
      <x:c r="F61" s="56" t="n">
        <x:v>1</x:v>
      </x:c>
      <x:c r="G61" s="56" t="n">
        <x:v>1</x:v>
      </x:c>
      <x:c r="H61" s="56" t="n">
        <x:v>1</x:v>
      </x:c>
      <x:c r="I61" s="34"/>
      <x:c r="J61" s="34"/>
      <x:c r="K61" s="11" t="str">
        <x:v>固定参数；不随技能等级变化</x:v>
      </x:c>
    </x:row>
    <x:row r="62" ht="48" customHeight="1">
      <x:c r="A62" s="20" t="str">
        <x:v>[P1-2]</x:v>
      </x:c>
      <x:c r="B62" s="20" t="str">
        <x:v>P1｜重载</x:v>
      </x:c>
      <x:c r="C62" s="20" t="str">
        <x:v>每单位永久生命值</x:v>
      </x:c>
      <x:c r="D62" s="20" t="str">
        <x:v>点</x:v>
      </x:c>
      <x:c r="E62" s="56" t="n">
        <x:v>3</x:v>
      </x:c>
      <x:c r="F62" s="56" t="n">
        <x:v>5</x:v>
      </x:c>
      <x:c r="G62" s="60" t="n">
        <x:v>10</x:v>
      </x:c>
      <x:c r="H62" s="60" t="n">
        <x:v>20</x:v>
      </x:c>
      <x:c r="I62" s="34"/>
      <x:c r="J62" s="34"/>
      <x:c r="K62" s="11" t="str">
        <x:v>固定生命值，不是百分比。重复重建车厢是否再次计入、升级是否追补历史收益仍待确认。</x:v>
      </x:c>
    </x:row>
    <x:row r="63" ht="24" customHeight="1">
      <x:c r="A63" s="30" t="str">
        <x:v>[P2-1]</x:v>
      </x:c>
      <x:c r="B63" s="30" t="str">
        <x:v>P2｜高速干线</x:v>
      </x:c>
      <x:c r="C63" s="30" t="str">
        <x:v>进入高速所需移动</x:v>
      </x:c>
      <x:c r="D63" s="30" t="str">
        <x:v>秒</x:v>
      </x:c>
      <x:c r="E63" s="56" t="n">
        <x:v>2</x:v>
      </x:c>
      <x:c r="F63" s="56" t="n">
        <x:v>2</x:v>
      </x:c>
      <x:c r="G63" s="56" t="n">
        <x:v>2</x:v>
      </x:c>
      <x:c r="H63" s="56" t="n">
        <x:v>2</x:v>
      </x:c>
      <x:c r="I63" s="34"/>
      <x:c r="J63" s="34"/>
      <x:c r="K63" s="11" t="str">
        <x:v>固定参数；不随技能等级变化</x:v>
      </x:c>
    </x:row>
    <x:row r="64" ht="24" customHeight="1">
      <x:c r="A64" s="20" t="str">
        <x:v>[P2-2]</x:v>
      </x:c>
      <x:c r="B64" s="20" t="str">
        <x:v>P2｜高速干线</x:v>
      </x:c>
      <x:c r="C64" s="20" t="str">
        <x:v>高速攻速加成</x:v>
      </x:c>
      <x:c r="D64" s="20" t="str">
        <x:v>%</x:v>
      </x:c>
      <x:c r="E64" s="56" t="n">
        <x:v>12</x:v>
      </x:c>
      <x:c r="F64" s="56" t="n">
        <x:v>18</x:v>
      </x:c>
      <x:c r="G64" s="60" t="n">
        <x:v>30</x:v>
      </x:c>
      <x:c r="H64" s="60" t="n">
        <x:v>50</x:v>
      </x:c>
      <x:c r="I64" s="34"/>
      <x:c r="J64" s="34"/>
      <x:c r="K64" s="11" t="str"/>
    </x:row>
    <x:row r="65" ht="24" customHeight="1">
      <x:c r="A65" s="20" t="str">
        <x:v>[P2-3]</x:v>
      </x:c>
      <x:c r="B65" s="20" t="str">
        <x:v>P2｜高速干线</x:v>
      </x:c>
      <x:c r="C65" s="20" t="str">
        <x:v>允许停止移动时长</x:v>
      </x:c>
      <x:c r="D65" s="20" t="str">
        <x:v>秒</x:v>
      </x:c>
      <x:c r="E65" s="56" t="n">
        <x:v>1</x:v>
      </x:c>
      <x:c r="F65" s="56" t="n">
        <x:v>1</x:v>
      </x:c>
      <x:c r="G65" s="56" t="n">
        <x:v>1</x:v>
      </x:c>
      <x:c r="H65" s="56" t="n">
        <x:v>1</x:v>
      </x:c>
      <x:c r="I65" s="34"/>
      <x:c r="J65" s="34"/>
      <x:c r="K65" s="11" t="str">
        <x:v>固定参数；不随技能等级变化</x:v>
      </x:c>
    </x:row>
    <x:row r="66" ht="24" customHeight="1">
      <x:c r="A66" s="30" t="str">
        <x:v>[P3-1]</x:v>
      </x:c>
      <x:c r="B66" s="30" t="str">
        <x:v>P3｜锅炉过载</x:v>
      </x:c>
      <x:c r="C66" s="30" t="str">
        <x:v>过热持续</x:v>
      </x:c>
      <x:c r="D66" s="30" t="str">
        <x:v>秒</x:v>
      </x:c>
      <x:c r="E66" s="56" t="n">
        <x:v>4</x:v>
      </x:c>
      <x:c r="F66" s="56" t="n">
        <x:v>4</x:v>
      </x:c>
      <x:c r="G66" s="56" t="n">
        <x:v>4</x:v>
      </x:c>
      <x:c r="H66" s="56" t="n">
        <x:v>4</x:v>
      </x:c>
      <x:c r="I66" s="34"/>
      <x:c r="J66" s="34"/>
      <x:c r="K66" s="11" t="str">
        <x:v>固定参数；不随技能等级变化</x:v>
      </x:c>
    </x:row>
    <x:row r="67" ht="24" customHeight="1">
      <x:c r="A67" s="20" t="str">
        <x:v>[P3-2]</x:v>
      </x:c>
      <x:c r="B67" s="20" t="str">
        <x:v>P3｜锅炉过载</x:v>
      </x:c>
      <x:c r="C67" s="20" t="str">
        <x:v>过热攻击力提高</x:v>
      </x:c>
      <x:c r="D67" s="20" t="str">
        <x:v>%</x:v>
      </x:c>
      <x:c r="E67" s="56" t="n">
        <x:v>12</x:v>
      </x:c>
      <x:c r="F67" s="56" t="n">
        <x:v>18</x:v>
      </x:c>
      <x:c r="G67" s="60" t="n">
        <x:v>30</x:v>
      </x:c>
      <x:c r="H67" s="60" t="n">
        <x:v>50</x:v>
      </x:c>
      <x:c r="I67" s="34"/>
      <x:c r="J67" s="34"/>
      <x:c r="K67" s="11" t="str"/>
    </x:row>
    <x:row r="68" ht="24" customHeight="1">
      <x:c r="A68" s="20" t="str">
        <x:v>[P3-3]</x:v>
      </x:c>
      <x:c r="B68" s="20" t="str">
        <x:v>P3｜锅炉过载</x:v>
      </x:c>
      <x:c r="C68" s="20" t="str">
        <x:v>过热冷却缩减</x:v>
      </x:c>
      <x:c r="D68" s="20" t="str">
        <x:v>%</x:v>
      </x:c>
      <x:c r="E68" s="56" t="n">
        <x:v>10</x:v>
      </x:c>
      <x:c r="F68" s="56" t="n">
        <x:v>14</x:v>
      </x:c>
      <x:c r="G68" s="60" t="n">
        <x:v>22</x:v>
      </x:c>
      <x:c r="H68" s="60" t="n">
        <x:v>35</x:v>
      </x:c>
      <x:c r="I68" s="34"/>
      <x:c r="J68" s="34"/>
      <x:c r="K68" s="11" t="str"/>
    </x:row>
    <x:row r="69" ht="24" customHeight="1">
      <x:c r="A69" s="20" t="str">
        <x:v>[P3-4]</x:v>
      </x:c>
      <x:c r="B69" s="20" t="str">
        <x:v>P3｜锅炉过载</x:v>
      </x:c>
      <x:c r="C69" s="20" t="str">
        <x:v>辅助爆炸半径</x:v>
      </x:c>
      <x:c r="D69" s="20" t="str">
        <x:v>米</x:v>
      </x:c>
      <x:c r="E69" s="58" t="n">
        <x:v>1.8</x:v>
      </x:c>
      <x:c r="F69" s="58" t="n">
        <x:v>1.8</x:v>
      </x:c>
      <x:c r="G69" s="58" t="n">
        <x:v>1.8</x:v>
      </x:c>
      <x:c r="H69" s="58" t="n">
        <x:v>1.8</x:v>
      </x:c>
      <x:c r="I69" s="34"/>
      <x:c r="J69" s="34"/>
      <x:c r="K69" s="11" t="str">
        <x:v>固定参数；不随技能等级变化</x:v>
      </x:c>
    </x:row>
    <x:row r="70" ht="24" customHeight="1">
      <x:c r="A70" s="20" t="str">
        <x:v>[P3-5]</x:v>
      </x:c>
      <x:c r="B70" s="20" t="str">
        <x:v>P3｜锅炉过载</x:v>
      </x:c>
      <x:c r="C70" s="20" t="str">
        <x:v>辅助爆炸伤害比例</x:v>
      </x:c>
      <x:c r="D70" s="20" t="str">
        <x:v>%</x:v>
      </x:c>
      <x:c r="E70" s="56" t="n">
        <x:v>20</x:v>
      </x:c>
      <x:c r="F70" s="56" t="n">
        <x:v>30</x:v>
      </x:c>
      <x:c r="G70" s="60" t="n">
        <x:v>50</x:v>
      </x:c>
      <x:c r="H70" s="60" t="n">
        <x:v>85</x:v>
      </x:c>
      <x:c r="I70" s="34"/>
      <x:c r="J70" s="34"/>
      <x:c r="K70" s="11" t="str"/>
    </x:row>
    <x:row r="71" ht="24" customHeight="1">
      <x:c r="A71" s="30" t="str">
        <x:v>[R1-1]</x:v>
      </x:c>
      <x:c r="B71" s="30" t="str">
        <x:v>R1｜战争列车</x:v>
      </x:c>
      <x:c r="C71" s="30" t="str">
        <x:v>即时补足车厢</x:v>
      </x:c>
      <x:c r="D71" s="30" t="str">
        <x:v>节</x:v>
      </x:c>
      <x:c r="E71" s="56" t="n">
        <x:v>6</x:v>
      </x:c>
      <x:c r="F71" s="56" t="n">
        <x:v>6</x:v>
      </x:c>
      <x:c r="G71" s="56" t="n">
        <x:v>6</x:v>
      </x:c>
      <x:c r="H71" s="56" t="n">
        <x:v>6</x:v>
      </x:c>
      <x:c r="I71" s="34"/>
      <x:c r="J71" s="34"/>
      <x:c r="K71" s="11" t="str">
        <x:v>固定参数；不随技能等级变化</x:v>
      </x:c>
    </x:row>
    <x:row r="72" ht="24" customHeight="1">
      <x:c r="A72" s="20" t="str">
        <x:v>[R1-2]</x:v>
      </x:c>
      <x:c r="B72" s="20" t="str">
        <x:v>R1｜战争列车</x:v>
      </x:c>
      <x:c r="C72" s="20" t="str">
        <x:v>战争列车持续</x:v>
      </x:c>
      <x:c r="D72" s="20" t="str">
        <x:v>秒</x:v>
      </x:c>
      <x:c r="E72" s="58" t="n">
        <x:v>10</x:v>
      </x:c>
      <x:c r="F72" s="58" t="n">
        <x:v>10.8</x:v>
      </x:c>
      <x:c r="G72" s="62" t="n">
        <x:v>12.5</x:v>
      </x:c>
      <x:c r="H72" s="62" t="n">
        <x:v>15</x:v>
      </x:c>
      <x:c r="I72" s="34"/>
      <x:c r="J72" s="34"/>
      <x:c r="K72" s="11" t="str"/>
    </x:row>
    <x:row r="73" ht="24" customHeight="1">
      <x:c r="A73" s="20" t="str">
        <x:v>[R1-3]</x:v>
      </x:c>
      <x:c r="B73" s="20" t="str">
        <x:v>R1｜战争列车</x:v>
      </x:c>
      <x:c r="C73" s="20" t="str">
        <x:v>车厢火炮射程</x:v>
      </x:c>
      <x:c r="D73" s="20" t="str">
        <x:v>米</x:v>
      </x:c>
      <x:c r="E73" s="56" t="n">
        <x:v>12</x:v>
      </x:c>
      <x:c r="F73" s="56" t="n">
        <x:v>12</x:v>
      </x:c>
      <x:c r="G73" s="56" t="n">
        <x:v>12</x:v>
      </x:c>
      <x:c r="H73" s="56" t="n">
        <x:v>12</x:v>
      </x:c>
      <x:c r="I73" s="34"/>
      <x:c r="J73" s="34"/>
      <x:c r="K73" s="11" t="str">
        <x:v>固定参数；不随技能等级变化</x:v>
      </x:c>
    </x:row>
    <x:row r="74" ht="24" customHeight="1">
      <x:c r="A74" s="20" t="str">
        <x:v>[R1-4]</x:v>
      </x:c>
      <x:c r="B74" s="20" t="str">
        <x:v>R1｜战争列车</x:v>
      </x:c>
      <x:c r="C74" s="20" t="str">
        <x:v>火炮间隔</x:v>
      </x:c>
      <x:c r="D74" s="20" t="str">
        <x:v>秒</x:v>
      </x:c>
      <x:c r="E74" s="58" t="n">
        <x:v>0.5</x:v>
      </x:c>
      <x:c r="F74" s="58" t="n">
        <x:v>0.5</x:v>
      </x:c>
      <x:c r="G74" s="58" t="n">
        <x:v>0.5</x:v>
      </x:c>
      <x:c r="H74" s="58" t="n">
        <x:v>0.5</x:v>
      </x:c>
      <x:c r="I74" s="34"/>
      <x:c r="J74" s="34"/>
      <x:c r="K74" s="11" t="str">
        <x:v>固定参数；不随技能等级变化</x:v>
      </x:c>
    </x:row>
    <x:row r="75" ht="24" customHeight="1">
      <x:c r="A75" s="20" t="str">
        <x:v>[R1-5]</x:v>
      </x:c>
      <x:c r="B75" s="20" t="str">
        <x:v>R1｜战争列车</x:v>
      </x:c>
      <x:c r="C75" s="20" t="str">
        <x:v>每发固定伤害</x:v>
      </x:c>
      <x:c r="D75" s="20" t="str">
        <x:v>点</x:v>
      </x:c>
      <x:c r="E75" s="56" t="n">
        <x:v>10</x:v>
      </x:c>
      <x:c r="F75" s="56" t="n">
        <x:v>14</x:v>
      </x:c>
      <x:c r="G75" s="60" t="n">
        <x:v>24</x:v>
      </x:c>
      <x:c r="H75" s="60" t="n">
        <x:v>42</x:v>
      </x:c>
      <x:c r="I75" s="34"/>
      <x:c r="J75" s="34"/>
      <x:c r="K75" s="11" t="str"/>
    </x:row>
    <x:row r="76" ht="24" customHeight="1">
      <x:c r="A76" s="20" t="str">
        <x:v>[R1-6]</x:v>
      </x:c>
      <x:c r="B76" s="20" t="str">
        <x:v>R1｜战争列车</x:v>
      </x:c>
      <x:c r="C76" s="20" t="str">
        <x:v>每发AD系数</x:v>
      </x:c>
      <x:c r="D76" s="20" t="str">
        <x:v>%AD</x:v>
      </x:c>
      <x:c r="E76" s="56" t="n">
        <x:v>12</x:v>
      </x:c>
      <x:c r="F76" s="56" t="n">
        <x:v>14</x:v>
      </x:c>
      <x:c r="G76" s="60" t="n">
        <x:v>19</x:v>
      </x:c>
      <x:c r="H76" s="60" t="n">
        <x:v>28</x:v>
      </x:c>
      <x:c r="I76" s="34"/>
      <x:c r="J76" s="34"/>
      <x:c r="K76" s="11" t="str"/>
    </x:row>
    <x:row r="77" ht="24" customHeight="1">
      <x:c r="A77" s="20" t="str">
        <x:v>[R1-7]</x:v>
      </x:c>
      <x:c r="B77" s="20" t="str">
        <x:v>R1｜战争列车</x:v>
      </x:c>
      <x:c r="C77" s="20" t="str">
        <x:v>移速加成</x:v>
      </x:c>
      <x:c r="D77" s="20" t="str">
        <x:v>%</x:v>
      </x:c>
      <x:c r="E77" s="56" t="n">
        <x:v>20</x:v>
      </x:c>
      <x:c r="F77" s="56" t="n">
        <x:v>24</x:v>
      </x:c>
      <x:c r="G77" s="60" t="n">
        <x:v>32</x:v>
      </x:c>
      <x:c r="H77" s="60" t="n">
        <x:v>45</x:v>
      </x:c>
      <x:c r="I77" s="34"/>
      <x:c r="J77" s="34"/>
      <x:c r="K77" s="11" t="str"/>
    </x:row>
    <x:row r="78" ht="24" customHeight="1">
      <x:c r="A78" s="20" t="str">
        <x:v>[R1-8]</x:v>
      </x:c>
      <x:c r="B78" s="20" t="str">
        <x:v>R1｜战争列车</x:v>
      </x:c>
      <x:c r="C78" s="20" t="str">
        <x:v>普攻爆炸半径加成</x:v>
      </x:c>
      <x:c r="D78" s="20" t="str">
        <x:v>%</x:v>
      </x:c>
      <x:c r="E78" s="56" t="n">
        <x:v>30</x:v>
      </x:c>
      <x:c r="F78" s="56" t="n">
        <x:v>36</x:v>
      </x:c>
      <x:c r="G78" s="60" t="n">
        <x:v>50</x:v>
      </x:c>
      <x:c r="H78" s="60" t="n">
        <x:v>75</x:v>
      </x:c>
      <x:c r="I78" s="34"/>
      <x:c r="J78" s="34"/>
      <x:c r="K78" s="11" t="str"/>
    </x:row>
    <x:row r="79" ht="24" customHeight="1">
      <x:c r="A79" s="20" t="str">
        <x:v>[R1-9]</x:v>
      </x:c>
      <x:c r="B79" s="20" t="str">
        <x:v>R1｜战争列车</x:v>
      </x:c>
      <x:c r="C79" s="20" t="str">
        <x:v>Q冷却恢复速度提高</x:v>
      </x:c>
      <x:c r="D79" s="20" t="str">
        <x:v>%</x:v>
      </x:c>
      <x:c r="E79" s="56" t="n">
        <x:v>30</x:v>
      </x:c>
      <x:c r="F79" s="56" t="n">
        <x:v>40</x:v>
      </x:c>
      <x:c r="G79" s="60" t="n">
        <x:v>60</x:v>
      </x:c>
      <x:c r="H79" s="60" t="n">
        <x:v>95</x:v>
      </x:c>
      <x:c r="I79" s="34"/>
      <x:c r="J79" s="34"/>
      <x:c r="K79" s="11" t="str"/>
    </x:row>
    <x:row r="80" ht="24" customHeight="1">
      <x:c r="A80" s="20" t="str">
        <x:v>[R1-10]</x:v>
      </x:c>
      <x:c r="B80" s="20" t="str">
        <x:v>R1｜战争列车</x:v>
      </x:c>
      <x:c r="C80" s="20" t="str">
        <x:v>基础冷却</x:v>
      </x:c>
      <x:c r="D80" s="20" t="str">
        <x:v>秒</x:v>
      </x:c>
      <x:c r="E80" s="56" t="n">
        <x:v>140</x:v>
      </x:c>
      <x:c r="F80" s="56" t="n">
        <x:v>132</x:v>
      </x:c>
      <x:c r="G80" s="60" t="n">
        <x:v>118</x:v>
      </x:c>
      <x:c r="H80" s="60" t="n">
        <x:v>100</x:v>
      </x:c>
      <x:c r="I80" s="34"/>
      <x:c r="J80" s="34"/>
      <x:c r="K80" s="11" t="str"/>
    </x:row>
    <x:row r="81" ht="24" customHeight="1">
      <x:c r="A81" s="30" t="str">
        <x:v>[R2-1]</x:v>
      </x:c>
      <x:c r="B81" s="30" t="str">
        <x:v>R2｜末日终点站</x:v>
      </x:c>
      <x:c r="C81" s="30" t="str">
        <x:v>无人列车数量</x:v>
      </x:c>
      <x:c r="D81" s="30" t="str">
        <x:v>点</x:v>
      </x:c>
      <x:c r="E81" s="56" t="n">
        <x:v>6</x:v>
      </x:c>
      <x:c r="F81" s="56" t="n">
        <x:v>6</x:v>
      </x:c>
      <x:c r="G81" s="56" t="n">
        <x:v>6</x:v>
      </x:c>
      <x:c r="H81" s="56" t="n">
        <x:v>6</x:v>
      </x:c>
      <x:c r="I81" s="34"/>
      <x:c r="J81" s="34"/>
      <x:c r="K81" s="11" t="str">
        <x:v>固定参数；不随技能等级变化</x:v>
      </x:c>
    </x:row>
    <x:row r="82" ht="24" customHeight="1">
      <x:c r="A82" s="20" t="str">
        <x:v>[R2-2]</x:v>
      </x:c>
      <x:c r="B82" s="20" t="str">
        <x:v>R2｜末日终点站</x:v>
      </x:c>
      <x:c r="C82" s="20" t="str">
        <x:v>发车间隔</x:v>
      </x:c>
      <x:c r="D82" s="20" t="str">
        <x:v>秒</x:v>
      </x:c>
      <x:c r="E82" s="56" t="n">
        <x:v>1</x:v>
      </x:c>
      <x:c r="F82" s="56" t="n">
        <x:v>1</x:v>
      </x:c>
      <x:c r="G82" s="56" t="n">
        <x:v>1</x:v>
      </x:c>
      <x:c r="H82" s="56" t="n">
        <x:v>1</x:v>
      </x:c>
      <x:c r="I82" s="34"/>
      <x:c r="J82" s="34"/>
      <x:c r="K82" s="11" t="str">
        <x:v>固定参数；不随技能等级变化</x:v>
      </x:c>
    </x:row>
    <x:row r="83" ht="24" customHeight="1">
      <x:c r="A83" s="20" t="str">
        <x:v>[R2-3]</x:v>
      </x:c>
      <x:c r="B83" s="20" t="str">
        <x:v>R2｜末日终点站</x:v>
      </x:c>
      <x:c r="C83" s="20" t="str">
        <x:v>无人列车宽度</x:v>
      </x:c>
      <x:c r="D83" s="20" t="str">
        <x:v>米</x:v>
      </x:c>
      <x:c r="E83" s="58" t="n">
        <x:v>3.5</x:v>
      </x:c>
      <x:c r="F83" s="58" t="n">
        <x:v>3.5</x:v>
      </x:c>
      <x:c r="G83" s="58" t="n">
        <x:v>3.5</x:v>
      </x:c>
      <x:c r="H83" s="58" t="n">
        <x:v>3.5</x:v>
      </x:c>
      <x:c r="I83" s="34"/>
      <x:c r="J83" s="34"/>
      <x:c r="K83" s="11" t="str">
        <x:v>固定参数；不随技能等级变化</x:v>
      </x:c>
    </x:row>
    <x:row r="84" ht="24" customHeight="1">
      <x:c r="A84" s="20" t="str">
        <x:v>[R2-4]</x:v>
      </x:c>
      <x:c r="B84" s="20" t="str">
        <x:v>R2｜末日终点站</x:v>
      </x:c>
      <x:c r="C84" s="20" t="str">
        <x:v>无人列车路径长度</x:v>
      </x:c>
      <x:c r="D84" s="20" t="str">
        <x:v>米</x:v>
      </x:c>
      <x:c r="E84" s="56" t="n">
        <x:v>32</x:v>
      </x:c>
      <x:c r="F84" s="56" t="n">
        <x:v>32</x:v>
      </x:c>
      <x:c r="G84" s="56" t="n">
        <x:v>32</x:v>
      </x:c>
      <x:c r="H84" s="56" t="n">
        <x:v>32</x:v>
      </x:c>
      <x:c r="I84" s="34"/>
      <x:c r="J84" s="34"/>
      <x:c r="K84" s="11" t="str">
        <x:v>固定参数；不随技能等级变化</x:v>
      </x:c>
    </x:row>
    <x:row r="85" ht="24" customHeight="1">
      <x:c r="A85" s="20" t="str">
        <x:v>[R2-5]</x:v>
      </x:c>
      <x:c r="B85" s="20" t="str">
        <x:v>R2｜末日终点站</x:v>
      </x:c>
      <x:c r="C85" s="20" t="str">
        <x:v>无人列车速度</x:v>
      </x:c>
      <x:c r="D85" s="20" t="str">
        <x:v>米/秒</x:v>
      </x:c>
      <x:c r="E85" s="56" t="n">
        <x:v>32</x:v>
      </x:c>
      <x:c r="F85" s="56" t="n">
        <x:v>32</x:v>
      </x:c>
      <x:c r="G85" s="56" t="n">
        <x:v>32</x:v>
      </x:c>
      <x:c r="H85" s="56" t="n">
        <x:v>32</x:v>
      </x:c>
      <x:c r="I85" s="34"/>
      <x:c r="J85" s="34"/>
      <x:c r="K85" s="11" t="str">
        <x:v>固定参数；不随技能等级变化</x:v>
      </x:c>
    </x:row>
    <x:row r="86" ht="24" customHeight="1">
      <x:c r="A86" s="20" t="str">
        <x:v>[R2-6]</x:v>
      </x:c>
      <x:c r="B86" s="20" t="str">
        <x:v>R2｜末日终点站</x:v>
      </x:c>
      <x:c r="C86" s="20" t="str">
        <x:v>无人列车固定伤害</x:v>
      </x:c>
      <x:c r="D86" s="20" t="str">
        <x:v>点</x:v>
      </x:c>
      <x:c r="E86" s="56" t="n">
        <x:v>70</x:v>
      </x:c>
      <x:c r="F86" s="56" t="n">
        <x:v>100</x:v>
      </x:c>
      <x:c r="G86" s="60" t="n">
        <x:v>170</x:v>
      </x:c>
      <x:c r="H86" s="60" t="n">
        <x:v>290</x:v>
      </x:c>
      <x:c r="I86" s="34"/>
      <x:c r="J86" s="34"/>
      <x:c r="K86" s="11" t="str"/>
    </x:row>
    <x:row r="87" ht="24" customHeight="1">
      <x:c r="A87" s="20" t="str">
        <x:v>[R2-7]</x:v>
      </x:c>
      <x:c r="B87" s="20" t="str">
        <x:v>R2｜末日终点站</x:v>
      </x:c>
      <x:c r="C87" s="20" t="str">
        <x:v>无人列车AD系数</x:v>
      </x:c>
      <x:c r="D87" s="20" t="str">
        <x:v>%AD</x:v>
      </x:c>
      <x:c r="E87" s="56" t="n">
        <x:v>125</x:v>
      </x:c>
      <x:c r="F87" s="56" t="n">
        <x:v>140</x:v>
      </x:c>
      <x:c r="G87" s="60" t="n">
        <x:v>175</x:v>
      </x:c>
      <x:c r="H87" s="60" t="n">
        <x:v>235</x:v>
      </x:c>
      <x:c r="I87" s="34"/>
      <x:c r="J87" s="34"/>
      <x:c r="K87" s="11" t="str"/>
    </x:row>
    <x:row r="88" ht="24" customHeight="1">
      <x:c r="A88" s="20" t="str">
        <x:v>[R2-8]</x:v>
      </x:c>
      <x:c r="B88" s="20" t="str">
        <x:v>R2｜末日终点站</x:v>
      </x:c>
      <x:c r="C88" s="20" t="str">
        <x:v>目标最大生命伤害比例</x:v>
      </x:c>
      <x:c r="D88" s="20" t="str">
        <x:v>%</x:v>
      </x:c>
      <x:c r="E88" s="58" t="n">
        <x:v>0.7</x:v>
      </x:c>
      <x:c r="F88" s="58" t="n">
        <x:v>0.8</x:v>
      </x:c>
      <x:c r="G88" s="62" t="n">
        <x:v>1</x:v>
      </x:c>
      <x:c r="H88" s="62" t="n">
        <x:v>1.3</x:v>
      </x:c>
      <x:c r="I88" s="34"/>
      <x:c r="J88" s="34"/>
      <x:c r="K88" s="11" t="str"/>
    </x:row>
    <x:row r="89" ht="24" customHeight="1">
      <x:c r="A89" s="20" t="str">
        <x:v>[R2-9]</x:v>
      </x:c>
      <x:c r="B89" s="20" t="str">
        <x:v>R2｜末日终点站</x:v>
      </x:c>
      <x:c r="C89" s="20" t="str">
        <x:v>终点号宽度</x:v>
      </x:c>
      <x:c r="D89" s="20" t="str">
        <x:v>米</x:v>
      </x:c>
      <x:c r="E89" s="56" t="n">
        <x:v>6</x:v>
      </x:c>
      <x:c r="F89" s="56" t="n">
        <x:v>6</x:v>
      </x:c>
      <x:c r="G89" s="56" t="n">
        <x:v>6</x:v>
      </x:c>
      <x:c r="H89" s="56" t="n">
        <x:v>6</x:v>
      </x:c>
      <x:c r="I89" s="34"/>
      <x:c r="J89" s="34"/>
      <x:c r="K89" s="11" t="str">
        <x:v>固定参数；不随技能等级变化</x:v>
      </x:c>
    </x:row>
    <x:row r="90" ht="24" customHeight="1">
      <x:c r="A90" s="20" t="str">
        <x:v>[R2-10]</x:v>
      </x:c>
      <x:c r="B90" s="20" t="str">
        <x:v>R2｜末日终点站</x:v>
      </x:c>
      <x:c r="C90" s="20" t="str">
        <x:v>终点号冲锋距离</x:v>
      </x:c>
      <x:c r="D90" s="20" t="str">
        <x:v>米</x:v>
      </x:c>
      <x:c r="E90" s="56" t="n">
        <x:v>26</x:v>
      </x:c>
      <x:c r="F90" s="56" t="n">
        <x:v>26</x:v>
      </x:c>
      <x:c r="G90" s="56" t="n">
        <x:v>26</x:v>
      </x:c>
      <x:c r="H90" s="56" t="n">
        <x:v>26</x:v>
      </x:c>
      <x:c r="I90" s="34"/>
      <x:c r="J90" s="34"/>
      <x:c r="K90" s="11" t="str">
        <x:v>固定参数；不随技能等级变化</x:v>
      </x:c>
    </x:row>
    <x:row r="91" ht="24" customHeight="1">
      <x:c r="A91" s="20" t="str">
        <x:v>[R2-11]</x:v>
      </x:c>
      <x:c r="B91" s="20" t="str">
        <x:v>R2｜末日终点站</x:v>
      </x:c>
      <x:c r="C91" s="20" t="str">
        <x:v>终点号冲锋持续</x:v>
      </x:c>
      <x:c r="D91" s="20" t="str">
        <x:v>秒</x:v>
      </x:c>
      <x:c r="E91" s="58" t="n">
        <x:v>0.75</x:v>
      </x:c>
      <x:c r="F91" s="58" t="n">
        <x:v>0.75</x:v>
      </x:c>
      <x:c r="G91" s="58" t="n">
        <x:v>0.75</x:v>
      </x:c>
      <x:c r="H91" s="58" t="n">
        <x:v>0.75</x:v>
      </x:c>
      <x:c r="I91" s="34"/>
      <x:c r="J91" s="34"/>
      <x:c r="K91" s="11" t="str">
        <x:v>固定参数；不随技能等级变化</x:v>
      </x:c>
    </x:row>
    <x:row r="92" ht="24" customHeight="1">
      <x:c r="A92" s="20" t="str">
        <x:v>[R2-12]</x:v>
      </x:c>
      <x:c r="B92" s="20" t="str">
        <x:v>R2｜末日终点站</x:v>
      </x:c>
      <x:c r="C92" s="20" t="str">
        <x:v>终点号固定伤害</x:v>
      </x:c>
      <x:c r="D92" s="20" t="str">
        <x:v>点</x:v>
      </x:c>
      <x:c r="E92" s="56" t="n">
        <x:v>220</x:v>
      </x:c>
      <x:c r="F92" s="56" t="n">
        <x:v>320</x:v>
      </x:c>
      <x:c r="G92" s="60" t="n">
        <x:v>540</x:v>
      </x:c>
      <x:c r="H92" s="60" t="n">
        <x:v>900</x:v>
      </x:c>
      <x:c r="I92" s="34"/>
      <x:c r="J92" s="34"/>
      <x:c r="K92" s="11" t="str"/>
    </x:row>
    <x:row r="93" ht="24" customHeight="1">
      <x:c r="A93" s="20" t="str">
        <x:v>[R2-13]</x:v>
      </x:c>
      <x:c r="B93" s="20" t="str">
        <x:v>R2｜末日终点站</x:v>
      </x:c>
      <x:c r="C93" s="20" t="str">
        <x:v>终点号AD系数</x:v>
      </x:c>
      <x:c r="D93" s="20" t="str">
        <x:v>%AD</x:v>
      </x:c>
      <x:c r="E93" s="56" t="n">
        <x:v>220</x:v>
      </x:c>
      <x:c r="F93" s="56" t="n">
        <x:v>250</x:v>
      </x:c>
      <x:c r="G93" s="60" t="n">
        <x:v>320</x:v>
      </x:c>
      <x:c r="H93" s="60" t="n">
        <x:v>440</x:v>
      </x:c>
      <x:c r="I93" s="34"/>
      <x:c r="J93" s="34"/>
      <x:c r="K93" s="11" t="str"/>
    </x:row>
    <x:row r="94" ht="24" customHeight="1">
      <x:c r="A94" s="20" t="str">
        <x:v>[R2-14]</x:v>
      </x:c>
      <x:c r="B94" s="20" t="str">
        <x:v>R2｜末日终点站</x:v>
      </x:c>
      <x:c r="C94" s="20" t="str">
        <x:v>目标已损失生命伤害比例</x:v>
      </x:c>
      <x:c r="D94" s="20" t="str">
        <x:v>%</x:v>
      </x:c>
      <x:c r="E94" s="56" t="n">
        <x:v>6</x:v>
      </x:c>
      <x:c r="F94" s="56" t="n">
        <x:v>7</x:v>
      </x:c>
      <x:c r="G94" s="60" t="n">
        <x:v>9</x:v>
      </x:c>
      <x:c r="H94" s="60" t="n">
        <x:v>12</x:v>
      </x:c>
      <x:c r="I94" s="34"/>
      <x:c r="J94" s="34"/>
      <x:c r="K94" s="11" t="str"/>
    </x:row>
    <x:row r="95" ht="24" customHeight="1">
      <x:c r="A95" s="20" t="str">
        <x:v>[R2-15]</x:v>
      </x:c>
      <x:c r="B95" s="20" t="str">
        <x:v>R2｜末日终点站</x:v>
      </x:c>
      <x:c r="C95" s="20" t="str">
        <x:v>基础冷却</x:v>
      </x:c>
      <x:c r="D95" s="20" t="str">
        <x:v>秒</x:v>
      </x:c>
      <x:c r="E95" s="56" t="n">
        <x:v>145</x:v>
      </x:c>
      <x:c r="F95" s="56" t="n">
        <x:v>137</x:v>
      </x:c>
      <x:c r="G95" s="60" t="n">
        <x:v>123</x:v>
      </x:c>
      <x:c r="H95" s="60" t="n">
        <x:v>105</x:v>
      </x:c>
      <x:c r="I95" s="34"/>
      <x:c r="J95" s="34"/>
      <x:c r="K95" s="11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ebadf8f535d4e6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27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37" hidden="0" customWidth="1"/>
  </x:cols>
  <x:sheetData>
    <x:row r="1" ht="36" customHeight="1">
      <x:c r="A1" s="7" t="str">
        <x:v>弥罗｜技能数值 v0.3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30" customHeight="1">
      <x:c r="A2" s="11" t="str">
        <x:v>Q/E：6档；被动/R：4档。蓝字可编辑；浅黄列为后段成长。百分比栏填100表示100%。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 ht="24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8" customHeight="1">
      <x:c r="A4" s="16" t="str">
        <x:v>占位编号</x:v>
      </x:c>
      <x:c r="B4" s="16" t="str">
        <x:v>技能</x:v>
      </x:c>
      <x:c r="C4" s="16" t="str">
        <x:v>数值项</x:v>
      </x:c>
      <x:c r="D4" s="16" t="str">
        <x:v>单位</x:v>
      </x:c>
      <x:c r="E4" s="16" t="str">
        <x:v>Lv1</x:v>
      </x:c>
      <x:c r="F4" s="16" t="str">
        <x:v>Lv2</x:v>
      </x:c>
      <x:c r="G4" s="16" t="str">
        <x:v>Lv3</x:v>
      </x:c>
      <x:c r="H4" s="16" t="str">
        <x:v>Lv4</x:v>
      </x:c>
      <x:c r="I4" s="16" t="str">
        <x:v>Lv5</x:v>
      </x:c>
      <x:c r="J4" s="16" t="str">
        <x:v>Lv6</x:v>
      </x:c>
      <x:c r="K4" s="16" t="str">
        <x:v>备注</x:v>
      </x:c>
    </x:row>
    <x:row r="5" ht="24" customHeight="1">
      <x:c r="A5" s="30" t="str">
        <x:v>[Q1-1]</x:v>
      </x:c>
      <x:c r="B5" s="30" t="str">
        <x:v>Q1｜鲸吞</x:v>
      </x:c>
      <x:c r="C5" s="30" t="str">
        <x:v>基础吸气半径</x:v>
      </x:c>
      <x:c r="D5" s="30" t="str">
        <x:v>米</x:v>
      </x:c>
      <x:c r="E5" s="58" t="n">
        <x:v>4</x:v>
      </x:c>
      <x:c r="F5" s="58" t="n">
        <x:v>4.08</x:v>
      </x:c>
      <x:c r="G5" s="58" t="n">
        <x:v>4.2</x:v>
      </x:c>
      <x:c r="H5" s="62" t="n">
        <x:v>4.4</x:v>
      </x:c>
      <x:c r="I5" s="62" t="n">
        <x:v>4.67</x:v>
      </x:c>
      <x:c r="J5" s="62" t="n">
        <x:v>5</x:v>
      </x:c>
      <x:c r="K5" s="11" t="str"/>
    </x:row>
    <x:row r="6" ht="24" customHeight="1">
      <x:c r="A6" s="20" t="str">
        <x:v>[Q1-2]</x:v>
      </x:c>
      <x:c r="B6" s="20" t="str">
        <x:v>Q1｜鲸吞</x:v>
      </x:c>
      <x:c r="C6" s="20" t="str">
        <x:v>吸气扇角</x:v>
      </x:c>
      <x:c r="D6" s="20" t="str">
        <x:v>度</x:v>
      </x:c>
      <x:c r="E6" s="56" t="n">
        <x:v>120</x:v>
      </x:c>
      <x:c r="F6" s="56" t="n">
        <x:v>120</x:v>
      </x:c>
      <x:c r="G6" s="56" t="n">
        <x:v>120</x:v>
      </x:c>
      <x:c r="H6" s="56" t="n">
        <x:v>120</x:v>
      </x:c>
      <x:c r="I6" s="56" t="n">
        <x:v>120</x:v>
      </x:c>
      <x:c r="J6" s="56" t="n">
        <x:v>120</x:v>
      </x:c>
      <x:c r="K6" s="11" t="str">
        <x:v>固定参数；不随技能等级变化</x:v>
      </x:c>
    </x:row>
    <x:row r="7" ht="24" customHeight="1">
      <x:c r="A7" s="20" t="str">
        <x:v>[Q1-3]</x:v>
      </x:c>
      <x:c r="B7" s="20" t="str">
        <x:v>Q1｜鲸吞</x:v>
      </x:c>
      <x:c r="C7" s="20" t="str">
        <x:v>牵引距离</x:v>
      </x:c>
      <x:c r="D7" s="20" t="str">
        <x:v>米</x:v>
      </x:c>
      <x:c r="E7" s="58" t="n">
        <x:v>2</x:v>
      </x:c>
      <x:c r="F7" s="58" t="n">
        <x:v>2.08</x:v>
      </x:c>
      <x:c r="G7" s="58" t="n">
        <x:v>2.2</x:v>
      </x:c>
      <x:c r="H7" s="62" t="n">
        <x:v>2.4</x:v>
      </x:c>
      <x:c r="I7" s="62" t="n">
        <x:v>2.67</x:v>
      </x:c>
      <x:c r="J7" s="62" t="n">
        <x:v>3</x:v>
      </x:c>
      <x:c r="K7" s="11" t="str"/>
    </x:row>
    <x:row r="8" ht="24" customHeight="1">
      <x:c r="A8" s="20" t="str">
        <x:v>[Q1-4]</x:v>
      </x:c>
      <x:c r="B8" s="20" t="str">
        <x:v>Q1｜鲸吞</x:v>
      </x:c>
      <x:c r="C8" s="20" t="str">
        <x:v>吸气持续</x:v>
      </x:c>
      <x:c r="D8" s="20" t="str">
        <x:v>秒</x:v>
      </x:c>
      <x:c r="E8" s="58" t="n">
        <x:v>0.3</x:v>
      </x:c>
      <x:c r="F8" s="58" t="n">
        <x:v>0.3</x:v>
      </x:c>
      <x:c r="G8" s="58" t="n">
        <x:v>0.3</x:v>
      </x:c>
      <x:c r="H8" s="58" t="n">
        <x:v>0.3</x:v>
      </x:c>
      <x:c r="I8" s="58" t="n">
        <x:v>0.3</x:v>
      </x:c>
      <x:c r="J8" s="58" t="n">
        <x:v>0.3</x:v>
      </x:c>
      <x:c r="K8" s="11" t="str">
        <x:v>固定参数；不随技能等级变化</x:v>
      </x:c>
    </x:row>
    <x:row r="9" ht="24" customHeight="1">
      <x:c r="A9" s="20" t="str">
        <x:v>[Q1-5]</x:v>
      </x:c>
      <x:c r="B9" s="20" t="str">
        <x:v>Q1｜鲸吞</x:v>
      </x:c>
      <x:c r="C9" s="20" t="str">
        <x:v>基础固定伤害</x:v>
      </x:c>
      <x:c r="D9" s="20" t="str">
        <x:v>点</x:v>
      </x:c>
      <x:c r="E9" s="56" t="n">
        <x:v>60</x:v>
      </x:c>
      <x:c r="F9" s="56" t="n">
        <x:v>80</x:v>
      </x:c>
      <x:c r="G9" s="56" t="n">
        <x:v>110</x:v>
      </x:c>
      <x:c r="H9" s="60" t="n">
        <x:v>160</x:v>
      </x:c>
      <x:c r="I9" s="60" t="n">
        <x:v>228</x:v>
      </x:c>
      <x:c r="J9" s="60" t="n">
        <x:v>310</x:v>
      </x:c>
      <x:c r="K9" s="11" t="str"/>
    </x:row>
    <x:row r="10" ht="24" customHeight="1">
      <x:c r="A10" s="20" t="str">
        <x:v>[Q1-6]</x:v>
      </x:c>
      <x:c r="B10" s="20" t="str">
        <x:v>Q1｜鲸吞</x:v>
      </x:c>
      <x:c r="C10" s="20" t="str">
        <x:v>基础AP系数</x:v>
      </x:c>
      <x:c r="D10" s="20" t="str">
        <x:v>%AP</x:v>
      </x:c>
      <x:c r="E10" s="56" t="n">
        <x:v>100</x:v>
      </x:c>
      <x:c r="F10" s="56" t="n">
        <x:v>106</x:v>
      </x:c>
      <x:c r="G10" s="56" t="n">
        <x:v>114</x:v>
      </x:c>
      <x:c r="H10" s="60" t="n">
        <x:v>128</x:v>
      </x:c>
      <x:c r="I10" s="60" t="n">
        <x:v>147</x:v>
      </x:c>
      <x:c r="J10" s="60" t="n">
        <x:v>170</x:v>
      </x:c>
      <x:c r="K10" s="11" t="str"/>
    </x:row>
    <x:row r="11" ht="24" customHeight="1">
      <x:c r="A11" s="20" t="str">
        <x:v>[Q1-7]</x:v>
      </x:c>
      <x:c r="B11" s="20" t="str">
        <x:v>Q1｜鲸吞</x:v>
      </x:c>
      <x:c r="C11" s="20" t="str">
        <x:v>强化吸气半径</x:v>
      </x:c>
      <x:c r="D11" s="20" t="str">
        <x:v>米</x:v>
      </x:c>
      <x:c r="E11" s="58" t="n">
        <x:v>5.2</x:v>
      </x:c>
      <x:c r="F11" s="58" t="n">
        <x:v>5.3</x:v>
      </x:c>
      <x:c r="G11" s="58" t="n">
        <x:v>5.46</x:v>
      </x:c>
      <x:c r="H11" s="62" t="n">
        <x:v>5.72</x:v>
      </x:c>
      <x:c r="I11" s="62" t="n">
        <x:v>6.07</x:v>
      </x:c>
      <x:c r="J11" s="62" t="n">
        <x:v>6.5</x:v>
      </x:c>
      <x:c r="K11" s="11" t="str"/>
    </x:row>
    <x:row r="12" ht="24" customHeight="1">
      <x:c r="A12" s="20" t="str">
        <x:v>[Q1-8]</x:v>
      </x:c>
      <x:c r="B12" s="20" t="str">
        <x:v>Q1｜鲸吞</x:v>
      </x:c>
      <x:c r="C12" s="20" t="str">
        <x:v>已损失生命伤害比例</x:v>
      </x:c>
      <x:c r="D12" s="20" t="str">
        <x:v>%</x:v>
      </x:c>
      <x:c r="E12" s="58" t="n">
        <x:v>2</x:v>
      </x:c>
      <x:c r="F12" s="58" t="n">
        <x:v>2.24</x:v>
      </x:c>
      <x:c r="G12" s="58" t="n">
        <x:v>2.6</x:v>
      </x:c>
      <x:c r="H12" s="62" t="n">
        <x:v>3.2</x:v>
      </x:c>
      <x:c r="I12" s="62" t="n">
        <x:v>4.01</x:v>
      </x:c>
      <x:c r="J12" s="62" t="n">
        <x:v>5</x:v>
      </x:c>
      <x:c r="K12" s="11" t="str"/>
    </x:row>
    <x:row r="13" ht="24" customHeight="1">
      <x:c r="A13" s="20" t="str">
        <x:v>[Q1-9]</x:v>
      </x:c>
      <x:c r="B13" s="20" t="str">
        <x:v>Q1｜鲸吞</x:v>
      </x:c>
      <x:c r="C13" s="20" t="str">
        <x:v>Boss比例伤害系数</x:v>
      </x:c>
      <x:c r="D13" s="20" t="str">
        <x:v>%</x:v>
      </x:c>
      <x:c r="E13" s="56" t="n">
        <x:v>40</x:v>
      </x:c>
      <x:c r="F13" s="56" t="n">
        <x:v>40</x:v>
      </x:c>
      <x:c r="G13" s="56" t="n">
        <x:v>40</x:v>
      </x:c>
      <x:c r="H13" s="56" t="n">
        <x:v>40</x:v>
      </x:c>
      <x:c r="I13" s="56" t="n">
        <x:v>40</x:v>
      </x:c>
      <x:c r="J13" s="56" t="n">
        <x:v>40</x:v>
      </x:c>
      <x:c r="K13" s="11" t="str">
        <x:v>固定参数；不随技能等级变化</x:v>
      </x:c>
    </x:row>
    <x:row r="14" ht="24" customHeight="1">
      <x:c r="A14" s="20" t="str">
        <x:v>[Q1-10]</x:v>
      </x:c>
      <x:c r="B14" s="20" t="str">
        <x:v>Q1｜鲸吞</x:v>
      </x:c>
      <x:c r="C14" s="20" t="str">
        <x:v>基础冷却</x:v>
      </x:c>
      <x:c r="D14" s="20" t="str">
        <x:v>秒</x:v>
      </x:c>
      <x:c r="E14" s="58" t="n">
        <x:v>7</x:v>
      </x:c>
      <x:c r="F14" s="58" t="n">
        <x:v>6.86</x:v>
      </x:c>
      <x:c r="G14" s="58" t="n">
        <x:v>6.66</x:v>
      </x:c>
      <x:c r="H14" s="62" t="n">
        <x:v>6.32</x:v>
      </x:c>
      <x:c r="I14" s="62" t="n">
        <x:v>5.86</x:v>
      </x:c>
      <x:c r="J14" s="62" t="n">
        <x:v>5.3</x:v>
      </x:c>
      <x:c r="K14" s="11" t="str"/>
    </x:row>
    <x:row r="15" ht="24" customHeight="1">
      <x:c r="A15" s="30" t="str">
        <x:v>[Q2-1]</x:v>
      </x:c>
      <x:c r="B15" s="30" t="str">
        <x:v>Q2｜反刍炮</x:v>
      </x:c>
      <x:c r="C15" s="30" t="str">
        <x:v>射程</x:v>
      </x:c>
      <x:c r="D15" s="30" t="str">
        <x:v>米</x:v>
      </x:c>
      <x:c r="E15" s="56" t="n">
        <x:v>11</x:v>
      </x:c>
      <x:c r="F15" s="56" t="n">
        <x:v>11</x:v>
      </x:c>
      <x:c r="G15" s="56" t="n">
        <x:v>11</x:v>
      </x:c>
      <x:c r="H15" s="56" t="n">
        <x:v>11</x:v>
      </x:c>
      <x:c r="I15" s="56" t="n">
        <x:v>11</x:v>
      </x:c>
      <x:c r="J15" s="56" t="n">
        <x:v>11</x:v>
      </x:c>
      <x:c r="K15" s="11" t="str">
        <x:v>固定参数；不随技能等级变化</x:v>
      </x:c>
    </x:row>
    <x:row r="16" ht="24" customHeight="1">
      <x:c r="A16" s="20" t="str">
        <x:v>[Q2-2]</x:v>
      </x:c>
      <x:c r="B16" s="20" t="str">
        <x:v>Q2｜反刍炮</x:v>
      </x:c>
      <x:c r="C16" s="20" t="str">
        <x:v>飞行速度</x:v>
      </x:c>
      <x:c r="D16" s="20" t="str">
        <x:v>米/秒</x:v>
      </x:c>
      <x:c r="E16" s="56" t="n">
        <x:v>18</x:v>
      </x:c>
      <x:c r="F16" s="56" t="n">
        <x:v>18</x:v>
      </x:c>
      <x:c r="G16" s="56" t="n">
        <x:v>18</x:v>
      </x:c>
      <x:c r="H16" s="56" t="n">
        <x:v>18</x:v>
      </x:c>
      <x:c r="I16" s="56" t="n">
        <x:v>18</x:v>
      </x:c>
      <x:c r="J16" s="56" t="n">
        <x:v>18</x:v>
      </x:c>
      <x:c r="K16" s="11" t="str">
        <x:v>固定参数；不随技能等级变化</x:v>
      </x:c>
    </x:row>
    <x:row r="17" ht="24" customHeight="1">
      <x:c r="A17" s="20" t="str">
        <x:v>[Q2-3]</x:v>
      </x:c>
      <x:c r="B17" s="20" t="str">
        <x:v>Q2｜反刍炮</x:v>
      </x:c>
      <x:c r="C17" s="20" t="str">
        <x:v>普通爆炸半径</x:v>
      </x:c>
      <x:c r="D17" s="20" t="str">
        <x:v>米</x:v>
      </x:c>
      <x:c r="E17" s="58" t="n">
        <x:v>2.6</x:v>
      </x:c>
      <x:c r="F17" s="58" t="n">
        <x:v>2.67</x:v>
      </x:c>
      <x:c r="G17" s="58" t="n">
        <x:v>2.78</x:v>
      </x:c>
      <x:c r="H17" s="62" t="n">
        <x:v>2.96</x:v>
      </x:c>
      <x:c r="I17" s="62" t="n">
        <x:v>3.2</x:v>
      </x:c>
      <x:c r="J17" s="62" t="n">
        <x:v>3.5</x:v>
      </x:c>
      <x:c r="K17" s="11" t="str"/>
    </x:row>
    <x:row r="18" ht="24" customHeight="1">
      <x:c r="A18" s="20" t="str">
        <x:v>[Q2-4]</x:v>
      </x:c>
      <x:c r="B18" s="20" t="str">
        <x:v>Q2｜反刍炮</x:v>
      </x:c>
      <x:c r="C18" s="20" t="str">
        <x:v>普通固定伤害</x:v>
      </x:c>
      <x:c r="D18" s="20" t="str">
        <x:v>点</x:v>
      </x:c>
      <x:c r="E18" s="56" t="n">
        <x:v>55</x:v>
      </x:c>
      <x:c r="F18" s="56" t="n">
        <x:v>74</x:v>
      </x:c>
      <x:c r="G18" s="56" t="n">
        <x:v>102</x:v>
      </x:c>
      <x:c r="H18" s="60" t="n">
        <x:v>149</x:v>
      </x:c>
      <x:c r="I18" s="60" t="n">
        <x:v>212</x:v>
      </x:c>
      <x:c r="J18" s="60" t="n">
        <x:v>290</x:v>
      </x:c>
      <x:c r="K18" s="11" t="str"/>
    </x:row>
    <x:row r="19" ht="24" customHeight="1">
      <x:c r="A19" s="20" t="str">
        <x:v>[Q2-5]</x:v>
      </x:c>
      <x:c r="B19" s="20" t="str">
        <x:v>Q2｜反刍炮</x:v>
      </x:c>
      <x:c r="C19" s="20" t="str">
        <x:v>普通AP系数</x:v>
      </x:c>
      <x:c r="D19" s="20" t="str">
        <x:v>%AP</x:v>
      </x:c>
      <x:c r="E19" s="56" t="n">
        <x:v>80</x:v>
      </x:c>
      <x:c r="F19" s="56" t="n">
        <x:v>84</x:v>
      </x:c>
      <x:c r="G19" s="56" t="n">
        <x:v>91</x:v>
      </x:c>
      <x:c r="H19" s="60" t="n">
        <x:v>102</x:v>
      </x:c>
      <x:c r="I19" s="60" t="n">
        <x:v>117</x:v>
      </x:c>
      <x:c r="J19" s="60" t="n">
        <x:v>135</x:v>
      </x:c>
      <x:c r="K19" s="11" t="str"/>
    </x:row>
    <x:row r="20" ht="24" customHeight="1">
      <x:c r="A20" s="20" t="str">
        <x:v>[Q2-6]</x:v>
      </x:c>
      <x:c r="B20" s="20" t="str">
        <x:v>Q2｜反刍炮</x:v>
      </x:c>
      <x:c r="C20" s="20" t="str">
        <x:v>强化球体半径</x:v>
      </x:c>
      <x:c r="D20" s="20" t="str">
        <x:v>米</x:v>
      </x:c>
      <x:c r="E20" s="58" t="n">
        <x:v>0.85</x:v>
      </x:c>
      <x:c r="F20" s="58" t="n">
        <x:v>0.85</x:v>
      </x:c>
      <x:c r="G20" s="58" t="n">
        <x:v>0.85</x:v>
      </x:c>
      <x:c r="H20" s="58" t="n">
        <x:v>0.85</x:v>
      </x:c>
      <x:c r="I20" s="58" t="n">
        <x:v>0.85</x:v>
      </x:c>
      <x:c r="J20" s="58" t="n">
        <x:v>0.85</x:v>
      </x:c>
      <x:c r="K20" s="11" t="str">
        <x:v>固定参数；不随技能等级变化</x:v>
      </x:c>
    </x:row>
    <x:row r="21" ht="24" customHeight="1">
      <x:c r="A21" s="20" t="str">
        <x:v>[Q2-7]</x:v>
      </x:c>
      <x:c r="B21" s="20" t="str">
        <x:v>Q2｜反刍炮</x:v>
      </x:c>
      <x:c r="C21" s="20" t="str">
        <x:v>强化爆炸半径</x:v>
      </x:c>
      <x:c r="D21" s="20" t="str">
        <x:v>米</x:v>
      </x:c>
      <x:c r="E21" s="58" t="n">
        <x:v>3.5</x:v>
      </x:c>
      <x:c r="F21" s="58" t="n">
        <x:v>3.59</x:v>
      </x:c>
      <x:c r="G21" s="58" t="n">
        <x:v>3.72</x:v>
      </x:c>
      <x:c r="H21" s="62" t="n">
        <x:v>3.94</x:v>
      </x:c>
      <x:c r="I21" s="62" t="n">
        <x:v>4.24</x:v>
      </x:c>
      <x:c r="J21" s="62" t="n">
        <x:v>4.6</x:v>
      </x:c>
      <x:c r="K21" s="11" t="str"/>
    </x:row>
    <x:row r="22" ht="24" customHeight="1">
      <x:c r="A22" s="20" t="str">
        <x:v>[Q2-8]</x:v>
      </x:c>
      <x:c r="B22" s="20" t="str">
        <x:v>Q2｜反刍炮</x:v>
      </x:c>
      <x:c r="C22" s="20" t="str">
        <x:v>强化固定伤害</x:v>
      </x:c>
      <x:c r="D22" s="20" t="str">
        <x:v>点</x:v>
      </x:c>
      <x:c r="E22" s="56" t="n">
        <x:v>85</x:v>
      </x:c>
      <x:c r="F22" s="56" t="n">
        <x:v>114</x:v>
      </x:c>
      <x:c r="G22" s="56" t="n">
        <x:v>158</x:v>
      </x:c>
      <x:c r="H22" s="60" t="n">
        <x:v>231</x:v>
      </x:c>
      <x:c r="I22" s="60" t="n">
        <x:v>330</x:v>
      </x:c>
      <x:c r="J22" s="60" t="n">
        <x:v>450</x:v>
      </x:c>
      <x:c r="K22" s="11" t="str"/>
    </x:row>
    <x:row r="23" ht="24" customHeight="1">
      <x:c r="A23" s="20" t="str">
        <x:v>[Q2-9]</x:v>
      </x:c>
      <x:c r="B23" s="20" t="str">
        <x:v>Q2｜反刍炮</x:v>
      </x:c>
      <x:c r="C23" s="20" t="str">
        <x:v>强化AP系数</x:v>
      </x:c>
      <x:c r="D23" s="20" t="str">
        <x:v>%AP</x:v>
      </x:c>
      <x:c r="E23" s="56" t="n">
        <x:v>120</x:v>
      </x:c>
      <x:c r="F23" s="56" t="n">
        <x:v>126</x:v>
      </x:c>
      <x:c r="G23" s="56" t="n">
        <x:v>135</x:v>
      </x:c>
      <x:c r="H23" s="60" t="n">
        <x:v>150</x:v>
      </x:c>
      <x:c r="I23" s="60" t="n">
        <x:v>170</x:v>
      </x:c>
      <x:c r="J23" s="60" t="n">
        <x:v>195</x:v>
      </x:c>
      <x:c r="K23" s="11" t="str"/>
    </x:row>
    <x:row r="24" ht="24" customHeight="1">
      <x:c r="A24" s="20" t="str">
        <x:v>[Q2-10]</x:v>
      </x:c>
      <x:c r="B24" s="20" t="str">
        <x:v>Q2｜反刍炮</x:v>
      </x:c>
      <x:c r="C24" s="20" t="str">
        <x:v>基础冷却</x:v>
      </x:c>
      <x:c r="D24" s="20" t="str">
        <x:v>秒</x:v>
      </x:c>
      <x:c r="E24" s="58" t="n">
        <x:v>8</x:v>
      </x:c>
      <x:c r="F24" s="58" t="n">
        <x:v>7.84</x:v>
      </x:c>
      <x:c r="G24" s="58" t="n">
        <x:v>7.6</x:v>
      </x:c>
      <x:c r="H24" s="62" t="n">
        <x:v>7.2</x:v>
      </x:c>
      <x:c r="I24" s="62" t="n">
        <x:v>6.66</x:v>
      </x:c>
      <x:c r="J24" s="62" t="n">
        <x:v>6</x:v>
      </x:c>
      <x:c r="K24" s="11" t="str"/>
    </x:row>
    <x:row r="25" ht="24" customHeight="1">
      <x:c r="A25" s="30" t="str">
        <x:v>[Q3-1]</x:v>
      </x:c>
      <x:c r="B25" s="30" t="str">
        <x:v>Q3｜胃海翻腾</x:v>
      </x:c>
      <x:c r="C25" s="30" t="str">
        <x:v>基础咬合次数</x:v>
      </x:c>
      <x:c r="D25" s="30" t="str">
        <x:v>次</x:v>
      </x:c>
      <x:c r="E25" s="56" t="n">
        <x:v>3</x:v>
      </x:c>
      <x:c r="F25" s="56" t="n">
        <x:v>3</x:v>
      </x:c>
      <x:c r="G25" s="56" t="n">
        <x:v>3</x:v>
      </x:c>
      <x:c r="H25" s="56" t="n">
        <x:v>3</x:v>
      </x:c>
      <x:c r="I25" s="56" t="n">
        <x:v>3</x:v>
      </x:c>
      <x:c r="J25" s="56" t="n">
        <x:v>3</x:v>
      </x:c>
      <x:c r="K25" s="11" t="str">
        <x:v>固定参数；不随技能等级变化</x:v>
      </x:c>
    </x:row>
    <x:row r="26" ht="24" customHeight="1">
      <x:c r="A26" s="20" t="str">
        <x:v>[Q3-2]</x:v>
      </x:c>
      <x:c r="B26" s="20" t="str">
        <x:v>Q3｜胃海翻腾</x:v>
      </x:c>
      <x:c r="C26" s="20" t="str">
        <x:v>咬合间隔</x:v>
      </x:c>
      <x:c r="D26" s="20" t="str">
        <x:v>秒</x:v>
      </x:c>
      <x:c r="E26" s="58" t="n">
        <x:v>0.25</x:v>
      </x:c>
      <x:c r="F26" s="58" t="n">
        <x:v>0.25</x:v>
      </x:c>
      <x:c r="G26" s="58" t="n">
        <x:v>0.25</x:v>
      </x:c>
      <x:c r="H26" s="58" t="n">
        <x:v>0.25</x:v>
      </x:c>
      <x:c r="I26" s="58" t="n">
        <x:v>0.25</x:v>
      </x:c>
      <x:c r="J26" s="58" t="n">
        <x:v>0.25</x:v>
      </x:c>
      <x:c r="K26" s="11" t="str">
        <x:v>固定参数；不随技能等级变化</x:v>
      </x:c>
    </x:row>
    <x:row r="27" ht="24" customHeight="1">
      <x:c r="A27" s="20" t="str">
        <x:v>[Q3-3]</x:v>
      </x:c>
      <x:c r="B27" s="20" t="str">
        <x:v>Q3｜胃海翻腾</x:v>
      </x:c>
      <x:c r="C27" s="20" t="str">
        <x:v>首圈半径</x:v>
      </x:c>
      <x:c r="D27" s="20" t="str">
        <x:v>米</x:v>
      </x:c>
      <x:c r="E27" s="58" t="n">
        <x:v>2.2</x:v>
      </x:c>
      <x:c r="F27" s="58" t="n">
        <x:v>2.25</x:v>
      </x:c>
      <x:c r="G27" s="58" t="n">
        <x:v>2.32</x:v>
      </x:c>
      <x:c r="H27" s="62" t="n">
        <x:v>2.44</x:v>
      </x:c>
      <x:c r="I27" s="62" t="n">
        <x:v>2.6</x:v>
      </x:c>
      <x:c r="J27" s="62" t="n">
        <x:v>2.8</x:v>
      </x:c>
      <x:c r="K27" s="11" t="str"/>
    </x:row>
    <x:row r="28" ht="24" customHeight="1">
      <x:c r="A28" s="20" t="str">
        <x:v>[Q3-4]</x:v>
      </x:c>
      <x:c r="B28" s="20" t="str">
        <x:v>Q3｜胃海翻腾</x:v>
      </x:c>
      <x:c r="C28" s="20" t="str">
        <x:v>每圈增加半径</x:v>
      </x:c>
      <x:c r="D28" s="20" t="str">
        <x:v>米</x:v>
      </x:c>
      <x:c r="E28" s="58" t="n">
        <x:v>0.7</x:v>
      </x:c>
      <x:c r="F28" s="58" t="n">
        <x:v>0.7</x:v>
      </x:c>
      <x:c r="G28" s="58" t="n">
        <x:v>0.7</x:v>
      </x:c>
      <x:c r="H28" s="58" t="n">
        <x:v>0.7</x:v>
      </x:c>
      <x:c r="I28" s="58" t="n">
        <x:v>0.7</x:v>
      </x:c>
      <x:c r="J28" s="58" t="n">
        <x:v>0.7</x:v>
      </x:c>
      <x:c r="K28" s="11" t="str">
        <x:v>固定参数；不随技能等级变化</x:v>
      </x:c>
    </x:row>
    <x:row r="29" ht="24" customHeight="1">
      <x:c r="A29" s="20" t="str">
        <x:v>[Q3-5]</x:v>
      </x:c>
      <x:c r="B29" s="20" t="str">
        <x:v>Q3｜胃海翻腾</x:v>
      </x:c>
      <x:c r="C29" s="20" t="str">
        <x:v>单圈固定伤害</x:v>
      </x:c>
      <x:c r="D29" s="20" t="str">
        <x:v>点</x:v>
      </x:c>
      <x:c r="E29" s="56" t="n">
        <x:v>20</x:v>
      </x:c>
      <x:c r="F29" s="56" t="n">
        <x:v>27</x:v>
      </x:c>
      <x:c r="G29" s="56" t="n">
        <x:v>37</x:v>
      </x:c>
      <x:c r="H29" s="60" t="n">
        <x:v>54</x:v>
      </x:c>
      <x:c r="I29" s="60" t="n">
        <x:v>77</x:v>
      </x:c>
      <x:c r="J29" s="60" t="n">
        <x:v>105</x:v>
      </x:c>
      <x:c r="K29" s="11" t="str"/>
    </x:row>
    <x:row r="30" ht="24" customHeight="1">
      <x:c r="A30" s="20" t="str">
        <x:v>[Q3-6]</x:v>
      </x:c>
      <x:c r="B30" s="20" t="str">
        <x:v>Q3｜胃海翻腾</x:v>
      </x:c>
      <x:c r="C30" s="20" t="str">
        <x:v>单圈AP系数</x:v>
      </x:c>
      <x:c r="D30" s="20" t="str">
        <x:v>%AP</x:v>
      </x:c>
      <x:c r="E30" s="56" t="n">
        <x:v>35</x:v>
      </x:c>
      <x:c r="F30" s="56" t="n">
        <x:v>37</x:v>
      </x:c>
      <x:c r="G30" s="56" t="n">
        <x:v>39</x:v>
      </x:c>
      <x:c r="H30" s="60" t="n">
        <x:v>43</x:v>
      </x:c>
      <x:c r="I30" s="60" t="n">
        <x:v>48</x:v>
      </x:c>
      <x:c r="J30" s="60" t="n">
        <x:v>55</x:v>
      </x:c>
      <x:c r="K30" s="11" t="str"/>
    </x:row>
    <x:row r="31" ht="24" customHeight="1">
      <x:c r="A31" s="20" t="str">
        <x:v>[Q3-7]</x:v>
      </x:c>
      <x:c r="B31" s="20" t="str">
        <x:v>Q3｜胃海翻腾</x:v>
      </x:c>
      <x:c r="C31" s="20" t="str">
        <x:v>强化胃潮半径</x:v>
      </x:c>
      <x:c r="D31" s="20" t="str">
        <x:v>米</x:v>
      </x:c>
      <x:c r="E31" s="58" t="n">
        <x:v>5</x:v>
      </x:c>
      <x:c r="F31" s="58" t="n">
        <x:v>5.08</x:v>
      </x:c>
      <x:c r="G31" s="58" t="n">
        <x:v>5.2</x:v>
      </x:c>
      <x:c r="H31" s="62" t="n">
        <x:v>5.4</x:v>
      </x:c>
      <x:c r="I31" s="62" t="n">
        <x:v>5.67</x:v>
      </x:c>
      <x:c r="J31" s="62" t="n">
        <x:v>6</x:v>
      </x:c>
      <x:c r="K31" s="11" t="str"/>
    </x:row>
    <x:row r="32" ht="24" customHeight="1">
      <x:c r="A32" s="20" t="str">
        <x:v>[Q3-8]</x:v>
      </x:c>
      <x:c r="B32" s="20" t="str">
        <x:v>Q3｜胃海翻腾</x:v>
      </x:c>
      <x:c r="C32" s="20" t="str">
        <x:v>胃潮固定伤害</x:v>
      </x:c>
      <x:c r="D32" s="20" t="str">
        <x:v>点</x:v>
      </x:c>
      <x:c r="E32" s="56" t="n">
        <x:v>40</x:v>
      </x:c>
      <x:c r="F32" s="56" t="n">
        <x:v>53</x:v>
      </x:c>
      <x:c r="G32" s="56" t="n">
        <x:v>72</x:v>
      </x:c>
      <x:c r="H32" s="60" t="n">
        <x:v>104</x:v>
      </x:c>
      <x:c r="I32" s="60" t="n">
        <x:v>147</x:v>
      </x:c>
      <x:c r="J32" s="60" t="n">
        <x:v>200</x:v>
      </x:c>
      <x:c r="K32" s="11" t="str"/>
    </x:row>
    <x:row r="33" ht="24" customHeight="1">
      <x:c r="A33" s="20" t="str">
        <x:v>[Q3-9]</x:v>
      </x:c>
      <x:c r="B33" s="20" t="str">
        <x:v>Q3｜胃海翻腾</x:v>
      </x:c>
      <x:c r="C33" s="20" t="str">
        <x:v>胃潮AP系数</x:v>
      </x:c>
      <x:c r="D33" s="20" t="str">
        <x:v>%AP</x:v>
      </x:c>
      <x:c r="E33" s="56" t="n">
        <x:v>65</x:v>
      </x:c>
      <x:c r="F33" s="56" t="n">
        <x:v>69</x:v>
      </x:c>
      <x:c r="G33" s="56" t="n">
        <x:v>74</x:v>
      </x:c>
      <x:c r="H33" s="60" t="n">
        <x:v>83</x:v>
      </x:c>
      <x:c r="I33" s="60" t="n">
        <x:v>95</x:v>
      </x:c>
      <x:c r="J33" s="60" t="n">
        <x:v>110</x:v>
      </x:c>
      <x:c r="K33" s="11" t="str"/>
    </x:row>
    <x:row r="34" ht="24" customHeight="1">
      <x:c r="A34" s="20" t="str">
        <x:v>[Q3-10]</x:v>
      </x:c>
      <x:c r="B34" s="20" t="str">
        <x:v>Q3｜胃海翻腾</x:v>
      </x:c>
      <x:c r="C34" s="20" t="str">
        <x:v>胃潮击退距离</x:v>
      </x:c>
      <x:c r="D34" s="20" t="str">
        <x:v>米</x:v>
      </x:c>
      <x:c r="E34" s="56" t="n">
        <x:v>3</x:v>
      </x:c>
      <x:c r="F34" s="56" t="n">
        <x:v>3</x:v>
      </x:c>
      <x:c r="G34" s="56" t="n">
        <x:v>3</x:v>
      </x:c>
      <x:c r="H34" s="56" t="n">
        <x:v>3</x:v>
      </x:c>
      <x:c r="I34" s="56" t="n">
        <x:v>3</x:v>
      </x:c>
      <x:c r="J34" s="56" t="n">
        <x:v>3</x:v>
      </x:c>
      <x:c r="K34" s="11" t="str">
        <x:v>固定参数；不随技能等级变化</x:v>
      </x:c>
    </x:row>
    <x:row r="35" ht="24" customHeight="1">
      <x:c r="A35" s="20" t="str">
        <x:v>[Q3-11]</x:v>
      </x:c>
      <x:c r="B35" s="20" t="str">
        <x:v>Q3｜胃海翻腾</x:v>
      </x:c>
      <x:c r="C35" s="20" t="str">
        <x:v>基础冷却</x:v>
      </x:c>
      <x:c r="D35" s="20" t="str">
        <x:v>秒</x:v>
      </x:c>
      <x:c r="E35" s="58" t="n">
        <x:v>10</x:v>
      </x:c>
      <x:c r="F35" s="58" t="n">
        <x:v>9.8</x:v>
      </x:c>
      <x:c r="G35" s="58" t="n">
        <x:v>9.5</x:v>
      </x:c>
      <x:c r="H35" s="62" t="n">
        <x:v>9</x:v>
      </x:c>
      <x:c r="I35" s="62" t="n">
        <x:v>8.32</x:v>
      </x:c>
      <x:c r="J35" s="62" t="n">
        <x:v>7.5</x:v>
      </x:c>
      <x:c r="K35" s="11" t="str"/>
    </x:row>
    <x:row r="36" ht="24" customHeight="1">
      <x:c r="A36" s="30" t="str">
        <x:v>[E1-1]</x:v>
      </x:c>
      <x:c r="B36" s="30" t="str">
        <x:v>E1｜蜕腹</x:v>
      </x:c>
      <x:c r="C36" s="30" t="str">
        <x:v>位移距离</x:v>
      </x:c>
      <x:c r="D36" s="30" t="str">
        <x:v>米</x:v>
      </x:c>
      <x:c r="E36" s="58" t="n">
        <x:v>4.5</x:v>
      </x:c>
      <x:c r="F36" s="58" t="n">
        <x:v>4.62</x:v>
      </x:c>
      <x:c r="G36" s="58" t="n">
        <x:v>4.8</x:v>
      </x:c>
      <x:c r="H36" s="62" t="n">
        <x:v>5.1</x:v>
      </x:c>
      <x:c r="I36" s="62" t="n">
        <x:v>5.5</x:v>
      </x:c>
      <x:c r="J36" s="62" t="n">
        <x:v>6</x:v>
      </x:c>
      <x:c r="K36" s="11" t="str"/>
    </x:row>
    <x:row r="37" ht="24" customHeight="1">
      <x:c r="A37" s="20" t="str">
        <x:v>[E1-2]</x:v>
      </x:c>
      <x:c r="B37" s="20" t="str">
        <x:v>E1｜蜕腹</x:v>
      </x:c>
      <x:c r="C37" s="20" t="str">
        <x:v>位移动作持续</x:v>
      </x:c>
      <x:c r="D37" s="20" t="str">
        <x:v>秒</x:v>
      </x:c>
      <x:c r="E37" s="58" t="n">
        <x:v>0.3</x:v>
      </x:c>
      <x:c r="F37" s="58" t="n">
        <x:v>0.3</x:v>
      </x:c>
      <x:c r="G37" s="58" t="n">
        <x:v>0.3</x:v>
      </x:c>
      <x:c r="H37" s="58" t="n">
        <x:v>0.3</x:v>
      </x:c>
      <x:c r="I37" s="58" t="n">
        <x:v>0.3</x:v>
      </x:c>
      <x:c r="J37" s="58" t="n">
        <x:v>0.3</x:v>
      </x:c>
      <x:c r="K37" s="11" t="str">
        <x:v>固定参数；不随技能等级变化</x:v>
      </x:c>
    </x:row>
    <x:row r="38" ht="24" customHeight="1">
      <x:c r="A38" s="20" t="str">
        <x:v>[E1-3]</x:v>
      </x:c>
      <x:c r="B38" s="20" t="str">
        <x:v>E1｜蜕腹</x:v>
      </x:c>
      <x:c r="C38" s="20" t="str">
        <x:v>不可选中时间</x:v>
      </x:c>
      <x:c r="D38" s="20" t="str">
        <x:v>秒</x:v>
      </x:c>
      <x:c r="E38" s="58" t="n">
        <x:v>0.4</x:v>
      </x:c>
      <x:c r="F38" s="58" t="n">
        <x:v>0.41</x:v>
      </x:c>
      <x:c r="G38" s="58" t="n">
        <x:v>0.43</x:v>
      </x:c>
      <x:c r="H38" s="62" t="n">
        <x:v>0.46</x:v>
      </x:c>
      <x:c r="I38" s="62" t="n">
        <x:v>0.5</x:v>
      </x:c>
      <x:c r="J38" s="62" t="n">
        <x:v>0.55</x:v>
      </x:c>
      <x:c r="K38" s="11" t="str"/>
    </x:row>
    <x:row r="39" ht="24" customHeight="1">
      <x:c r="A39" s="20" t="str">
        <x:v>[E1-4]</x:v>
      </x:c>
      <x:c r="B39" s="20" t="str">
        <x:v>E1｜蜕腹</x:v>
      </x:c>
      <x:c r="C39" s="20" t="str">
        <x:v>诱饵生命比例</x:v>
      </x:c>
      <x:c r="D39" s="20" t="str">
        <x:v>%</x:v>
      </x:c>
      <x:c r="E39" s="56" t="n">
        <x:v>25</x:v>
      </x:c>
      <x:c r="F39" s="56" t="n">
        <x:v>25</x:v>
      </x:c>
      <x:c r="G39" s="56" t="n">
        <x:v>25</x:v>
      </x:c>
      <x:c r="H39" s="56" t="n">
        <x:v>25</x:v>
      </x:c>
      <x:c r="I39" s="56" t="n">
        <x:v>25</x:v>
      </x:c>
      <x:c r="J39" s="56" t="n">
        <x:v>25</x:v>
      </x:c>
      <x:c r="K39" s="11" t="str">
        <x:v>固定参数；不随技能等级变化</x:v>
      </x:c>
    </x:row>
    <x:row r="40" ht="24" customHeight="1">
      <x:c r="A40" s="20" t="str">
        <x:v>[E1-5]</x:v>
      </x:c>
      <x:c r="B40" s="20" t="str">
        <x:v>E1｜蜕腹</x:v>
      </x:c>
      <x:c r="C40" s="20" t="str">
        <x:v>诱饵仇恨半径</x:v>
      </x:c>
      <x:c r="D40" s="20" t="str">
        <x:v>米</x:v>
      </x:c>
      <x:c r="E40" s="56" t="n">
        <x:v>5</x:v>
      </x:c>
      <x:c r="F40" s="56" t="n">
        <x:v>5</x:v>
      </x:c>
      <x:c r="G40" s="56" t="n">
        <x:v>5</x:v>
      </x:c>
      <x:c r="H40" s="56" t="n">
        <x:v>5</x:v>
      </x:c>
      <x:c r="I40" s="56" t="n">
        <x:v>5</x:v>
      </x:c>
      <x:c r="J40" s="56" t="n">
        <x:v>5</x:v>
      </x:c>
      <x:c r="K40" s="11" t="str">
        <x:v>固定参数；不随技能等级变化</x:v>
      </x:c>
    </x:row>
    <x:row r="41" ht="24" customHeight="1">
      <x:c r="A41" s="20" t="str">
        <x:v>[E1-6]</x:v>
      </x:c>
      <x:c r="B41" s="20" t="str">
        <x:v>E1｜蜕腹</x:v>
      </x:c>
      <x:c r="C41" s="20" t="str">
        <x:v>普通诱饵持续</x:v>
      </x:c>
      <x:c r="D41" s="20" t="str">
        <x:v>秒</x:v>
      </x:c>
      <x:c r="E41" s="58" t="n">
        <x:v>2</x:v>
      </x:c>
      <x:c r="F41" s="58" t="n">
        <x:v>2.08</x:v>
      </x:c>
      <x:c r="G41" s="58" t="n">
        <x:v>2.2</x:v>
      </x:c>
      <x:c r="H41" s="62" t="n">
        <x:v>2.4</x:v>
      </x:c>
      <x:c r="I41" s="62" t="n">
        <x:v>2.67</x:v>
      </x:c>
      <x:c r="J41" s="62" t="n">
        <x:v>3</x:v>
      </x:c>
      <x:c r="K41" s="11" t="str"/>
    </x:row>
    <x:row r="42" ht="24" customHeight="1">
      <x:c r="A42" s="20" t="str">
        <x:v>[E1-7]</x:v>
      </x:c>
      <x:c r="B42" s="20" t="str">
        <x:v>E1｜蜕腹</x:v>
      </x:c>
      <x:c r="C42" s="20" t="str">
        <x:v>普通爆炸半径</x:v>
      </x:c>
      <x:c r="D42" s="20" t="str">
        <x:v>米</x:v>
      </x:c>
      <x:c r="E42" s="56" t="n">
        <x:v>3</x:v>
      </x:c>
      <x:c r="F42" s="56" t="n">
        <x:v>3</x:v>
      </x:c>
      <x:c r="G42" s="56" t="n">
        <x:v>3</x:v>
      </x:c>
      <x:c r="H42" s="56" t="n">
        <x:v>3</x:v>
      </x:c>
      <x:c r="I42" s="56" t="n">
        <x:v>3</x:v>
      </x:c>
      <x:c r="J42" s="56" t="n">
        <x:v>3</x:v>
      </x:c>
      <x:c r="K42" s="11" t="str">
        <x:v>固定参数；不随技能等级变化</x:v>
      </x:c>
    </x:row>
    <x:row r="43" ht="24" customHeight="1">
      <x:c r="A43" s="20" t="str">
        <x:v>[E1-8]</x:v>
      </x:c>
      <x:c r="B43" s="20" t="str">
        <x:v>E1｜蜕腹</x:v>
      </x:c>
      <x:c r="C43" s="20" t="str">
        <x:v>爆炸固定伤害</x:v>
      </x:c>
      <x:c r="D43" s="20" t="str">
        <x:v>点</x:v>
      </x:c>
      <x:c r="E43" s="56" t="n">
        <x:v>40</x:v>
      </x:c>
      <x:c r="F43" s="56" t="n">
        <x:v>55</x:v>
      </x:c>
      <x:c r="G43" s="56" t="n">
        <x:v>78</x:v>
      </x:c>
      <x:c r="H43" s="60" t="n">
        <x:v>116</x:v>
      </x:c>
      <x:c r="I43" s="60" t="n">
        <x:v>167</x:v>
      </x:c>
      <x:c r="J43" s="60" t="n">
        <x:v>230</x:v>
      </x:c>
      <x:c r="K43" s="11" t="str"/>
    </x:row>
    <x:row r="44" ht="24" customHeight="1">
      <x:c r="A44" s="20" t="str">
        <x:v>[E1-9]</x:v>
      </x:c>
      <x:c r="B44" s="20" t="str">
        <x:v>E1｜蜕腹</x:v>
      </x:c>
      <x:c r="C44" s="20" t="str">
        <x:v>爆炸AP系数</x:v>
      </x:c>
      <x:c r="D44" s="20" t="str">
        <x:v>%AP</x:v>
      </x:c>
      <x:c r="E44" s="56" t="n">
        <x:v>50</x:v>
      </x:c>
      <x:c r="F44" s="56" t="n">
        <x:v>54</x:v>
      </x:c>
      <x:c r="G44" s="56" t="n">
        <x:v>60</x:v>
      </x:c>
      <x:c r="H44" s="60" t="n">
        <x:v>70</x:v>
      </x:c>
      <x:c r="I44" s="60" t="n">
        <x:v>84</x:v>
      </x:c>
      <x:c r="J44" s="60" t="n">
        <x:v>100</x:v>
      </x:c>
      <x:c r="K44" s="11" t="str"/>
    </x:row>
    <x:row r="45" ht="24" customHeight="1">
      <x:c r="A45" s="20" t="str">
        <x:v>[E1-10]</x:v>
      </x:c>
      <x:c r="B45" s="20" t="str">
        <x:v>E1｜蜕腹</x:v>
      </x:c>
      <x:c r="C45" s="20" t="str">
        <x:v>强化诱饵持续</x:v>
      </x:c>
      <x:c r="D45" s="20" t="str">
        <x:v>秒</x:v>
      </x:c>
      <x:c r="E45" s="58" t="n">
        <x:v>3</x:v>
      </x:c>
      <x:c r="F45" s="58" t="n">
        <x:v>3.12</x:v>
      </x:c>
      <x:c r="G45" s="58" t="n">
        <x:v>3.3</x:v>
      </x:c>
      <x:c r="H45" s="62" t="n">
        <x:v>3.6</x:v>
      </x:c>
      <x:c r="I45" s="62" t="n">
        <x:v>4</x:v>
      </x:c>
      <x:c r="J45" s="62" t="n">
        <x:v>4.5</x:v>
      </x:c>
      <x:c r="K45" s="11" t="str"/>
    </x:row>
    <x:row r="46" ht="24" customHeight="1">
      <x:c r="A46" s="20" t="str">
        <x:v>[E1-11]</x:v>
      </x:c>
      <x:c r="B46" s="20" t="str">
        <x:v>E1｜蜕腹</x:v>
      </x:c>
      <x:c r="C46" s="20" t="str">
        <x:v>强化爆炸半径</x:v>
      </x:c>
      <x:c r="D46" s="20" t="str">
        <x:v>米</x:v>
      </x:c>
      <x:c r="E46" s="56" t="n">
        <x:v>4</x:v>
      </x:c>
      <x:c r="F46" s="56" t="n">
        <x:v>4</x:v>
      </x:c>
      <x:c r="G46" s="56" t="n">
        <x:v>4</x:v>
      </x:c>
      <x:c r="H46" s="56" t="n">
        <x:v>4</x:v>
      </x:c>
      <x:c r="I46" s="56" t="n">
        <x:v>4</x:v>
      </x:c>
      <x:c r="J46" s="56" t="n">
        <x:v>4</x:v>
      </x:c>
      <x:c r="K46" s="11" t="str">
        <x:v>固定参数；不随技能等级变化</x:v>
      </x:c>
    </x:row>
    <x:row r="47" ht="24" customHeight="1">
      <x:c r="A47" s="20" t="str">
        <x:v>[E1-12]</x:v>
      </x:c>
      <x:c r="B47" s="20" t="str">
        <x:v>E1｜蜕腹</x:v>
      </x:c>
      <x:c r="C47" s="20" t="str">
        <x:v>承伤转爆炸比例</x:v>
      </x:c>
      <x:c r="D47" s="20" t="str">
        <x:v>%</x:v>
      </x:c>
      <x:c r="E47" s="56" t="n">
        <x:v>30</x:v>
      </x:c>
      <x:c r="F47" s="56" t="n">
        <x:v>30</x:v>
      </x:c>
      <x:c r="G47" s="56" t="n">
        <x:v>30</x:v>
      </x:c>
      <x:c r="H47" s="56" t="n">
        <x:v>30</x:v>
      </x:c>
      <x:c r="I47" s="56" t="n">
        <x:v>30</x:v>
      </x:c>
      <x:c r="J47" s="56" t="n">
        <x:v>30</x:v>
      </x:c>
      <x:c r="K47" s="11" t="str">
        <x:v>固定参数；不随技能等级变化</x:v>
      </x:c>
    </x:row>
    <x:row r="48" ht="24" customHeight="1">
      <x:c r="A48" s="20" t="str">
        <x:v>[E1-13]</x:v>
      </x:c>
      <x:c r="B48" s="20" t="str">
        <x:v>E1｜蜕腹</x:v>
      </x:c>
      <x:c r="C48" s="20" t="str">
        <x:v>转伤自身最大生命上限</x:v>
      </x:c>
      <x:c r="D48" s="20" t="str">
        <x:v>%</x:v>
      </x:c>
      <x:c r="E48" s="56" t="n">
        <x:v>20</x:v>
      </x:c>
      <x:c r="F48" s="56" t="n">
        <x:v>20</x:v>
      </x:c>
      <x:c r="G48" s="56" t="n">
        <x:v>20</x:v>
      </x:c>
      <x:c r="H48" s="56" t="n">
        <x:v>20</x:v>
      </x:c>
      <x:c r="I48" s="56" t="n">
        <x:v>20</x:v>
      </x:c>
      <x:c r="J48" s="56" t="n">
        <x:v>20</x:v>
      </x:c>
      <x:c r="K48" s="11" t="str">
        <x:v>固定参数；不随技能等级变化</x:v>
      </x:c>
    </x:row>
    <x:row r="49" ht="24" customHeight="1">
      <x:c r="A49" s="20" t="str">
        <x:v>[E1-14]</x:v>
      </x:c>
      <x:c r="B49" s="20" t="str">
        <x:v>E1｜蜕腹</x:v>
      </x:c>
      <x:c r="C49" s="20" t="str">
        <x:v>基础冷却</x:v>
      </x:c>
      <x:c r="D49" s="20" t="str">
        <x:v>秒</x:v>
      </x:c>
      <x:c r="E49" s="58" t="n">
        <x:v>14</x:v>
      </x:c>
      <x:c r="F49" s="58" t="n">
        <x:v>13.72</x:v>
      </x:c>
      <x:c r="G49" s="58" t="n">
        <x:v>13.3</x:v>
      </x:c>
      <x:c r="H49" s="62" t="n">
        <x:v>12.6</x:v>
      </x:c>
      <x:c r="I49" s="62" t="n">
        <x:v>11.65</x:v>
      </x:c>
      <x:c r="J49" s="62" t="n">
        <x:v>10.5</x:v>
      </x:c>
      <x:c r="K49" s="11" t="str"/>
    </x:row>
    <x:row r="50" ht="24" customHeight="1">
      <x:c r="A50" s="30" t="str">
        <x:v>[E2-1]</x:v>
      </x:c>
      <x:c r="B50" s="30" t="str">
        <x:v>E2｜吞害</x:v>
      </x:c>
      <x:c r="C50" s="30" t="str">
        <x:v>最长吞害持续</x:v>
      </x:c>
      <x:c r="D50" s="30" t="str">
        <x:v>秒</x:v>
      </x:c>
      <x:c r="E50" s="58" t="n">
        <x:v>1.4</x:v>
      </x:c>
      <x:c r="F50" s="58" t="n">
        <x:v>1.43</x:v>
      </x:c>
      <x:c r="G50" s="58" t="n">
        <x:v>1.48</x:v>
      </x:c>
      <x:c r="H50" s="62" t="n">
        <x:v>1.56</x:v>
      </x:c>
      <x:c r="I50" s="62" t="n">
        <x:v>1.67</x:v>
      </x:c>
      <x:c r="J50" s="62" t="n">
        <x:v>1.8</x:v>
      </x:c>
      <x:c r="K50" s="11" t="str"/>
    </x:row>
    <x:row r="51" ht="24" customHeight="1">
      <x:c r="A51" s="20" t="str">
        <x:v>[E2-2]</x:v>
      </x:c>
      <x:c r="B51" s="20" t="str">
        <x:v>E2｜吞害</x:v>
      </x:c>
      <x:c r="C51" s="20" t="str">
        <x:v>移速降低</x:v>
      </x:c>
      <x:c r="D51" s="20" t="str">
        <x:v>%</x:v>
      </x:c>
      <x:c r="E51" s="56" t="n">
        <x:v>30</x:v>
      </x:c>
      <x:c r="F51" s="56" t="n">
        <x:v>30</x:v>
      </x:c>
      <x:c r="G51" s="56" t="n">
        <x:v>30</x:v>
      </x:c>
      <x:c r="H51" s="56" t="n">
        <x:v>30</x:v>
      </x:c>
      <x:c r="I51" s="56" t="n">
        <x:v>30</x:v>
      </x:c>
      <x:c r="J51" s="56" t="n">
        <x:v>30</x:v>
      </x:c>
      <x:c r="K51" s="11" t="str">
        <x:v>固定参数；不随技能等级变化</x:v>
      </x:c>
    </x:row>
    <x:row r="52" ht="24" customHeight="1">
      <x:c r="A52" s="20" t="str">
        <x:v>[E2-3]</x:v>
      </x:c>
      <x:c r="B52" s="20" t="str">
        <x:v>E2｜吞害</x:v>
      </x:c>
      <x:c r="C52" s="20" t="str">
        <x:v>防守正面角度</x:v>
      </x:c>
      <x:c r="D52" s="20" t="str">
        <x:v>度</x:v>
      </x:c>
      <x:c r="E52" s="56" t="n">
        <x:v>140</x:v>
      </x:c>
      <x:c r="F52" s="56" t="n">
        <x:v>140</x:v>
      </x:c>
      <x:c r="G52" s="56" t="n">
        <x:v>140</x:v>
      </x:c>
      <x:c r="H52" s="56" t="n">
        <x:v>140</x:v>
      </x:c>
      <x:c r="I52" s="56" t="n">
        <x:v>140</x:v>
      </x:c>
      <x:c r="J52" s="56" t="n">
        <x:v>140</x:v>
      </x:c>
      <x:c r="K52" s="11" t="str">
        <x:v>固定参数；不随技能等级变化</x:v>
      </x:c>
    </x:row>
    <x:row r="53" ht="24" customHeight="1">
      <x:c r="A53" s="20" t="str">
        <x:v>[E2-4]</x:v>
      </x:c>
      <x:c r="B53" s="20" t="str">
        <x:v>E2｜吞害</x:v>
      </x:c>
      <x:c r="C53" s="20" t="str">
        <x:v>正面减伤</x:v>
      </x:c>
      <x:c r="D53" s="20" t="str">
        <x:v>%</x:v>
      </x:c>
      <x:c r="E53" s="56" t="n">
        <x:v>60</x:v>
      </x:c>
      <x:c r="F53" s="56" t="n">
        <x:v>61</x:v>
      </x:c>
      <x:c r="G53" s="56" t="n">
        <x:v>64</x:v>
      </x:c>
      <x:c r="H53" s="60" t="n">
        <x:v>67</x:v>
      </x:c>
      <x:c r="I53" s="60" t="n">
        <x:v>72</x:v>
      </x:c>
      <x:c r="J53" s="60" t="n">
        <x:v>78</x:v>
      </x:c>
      <x:c r="K53" s="11" t="str"/>
    </x:row>
    <x:row r="54" ht="24" customHeight="1">
      <x:c r="A54" s="20" t="str">
        <x:v>[E2-5]</x:v>
      </x:c>
      <x:c r="B54" s="20" t="str">
        <x:v>E2｜吞害</x:v>
      </x:c>
      <x:c r="C54" s="20" t="str">
        <x:v>吞弹矩形长度</x:v>
      </x:c>
      <x:c r="D54" s="20" t="str">
        <x:v>米</x:v>
      </x:c>
      <x:c r="E54" s="58" t="n">
        <x:v>3.2</x:v>
      </x:c>
      <x:c r="F54" s="58" t="n">
        <x:v>3.2</x:v>
      </x:c>
      <x:c r="G54" s="58" t="n">
        <x:v>3.2</x:v>
      </x:c>
      <x:c r="H54" s="58" t="n">
        <x:v>3.2</x:v>
      </x:c>
      <x:c r="I54" s="58" t="n">
        <x:v>3.2</x:v>
      </x:c>
      <x:c r="J54" s="58" t="n">
        <x:v>3.2</x:v>
      </x:c>
      <x:c r="K54" s="11" t="str">
        <x:v>固定参数；不随技能等级变化</x:v>
      </x:c>
    </x:row>
    <x:row r="55" ht="24" customHeight="1">
      <x:c r="A55" s="20" t="str">
        <x:v>[E2-6]</x:v>
      </x:c>
      <x:c r="B55" s="20" t="str">
        <x:v>E2｜吞害</x:v>
      </x:c>
      <x:c r="C55" s="20" t="str">
        <x:v>吞弹矩形宽度</x:v>
      </x:c>
      <x:c r="D55" s="20" t="str">
        <x:v>米</x:v>
      </x:c>
      <x:c r="E55" s="58" t="n">
        <x:v>4.5</x:v>
      </x:c>
      <x:c r="F55" s="58" t="n">
        <x:v>4.5</x:v>
      </x:c>
      <x:c r="G55" s="58" t="n">
        <x:v>4.5</x:v>
      </x:c>
      <x:c r="H55" s="58" t="n">
        <x:v>4.5</x:v>
      </x:c>
      <x:c r="I55" s="58" t="n">
        <x:v>4.5</x:v>
      </x:c>
      <x:c r="J55" s="58" t="n">
        <x:v>4.5</x:v>
      </x:c>
      <x:c r="K55" s="11" t="str">
        <x:v>固定参数；不随技能等级变化</x:v>
      </x:c>
    </x:row>
    <x:row r="56" ht="24" customHeight="1">
      <x:c r="A56" s="20" t="str">
        <x:v>[E2-7]</x:v>
      </x:c>
      <x:c r="B56" s="20" t="str">
        <x:v>E2｜吞害</x:v>
      </x:c>
      <x:c r="C56" s="20" t="str">
        <x:v>每格食质吞弹要求</x:v>
      </x:c>
      <x:c r="D56" s="20" t="str">
        <x:v>枚</x:v>
      </x:c>
      <x:c r="E56" s="56" t="n">
        <x:v>3</x:v>
      </x:c>
      <x:c r="F56" s="56" t="n">
        <x:v>3</x:v>
      </x:c>
      <x:c r="G56" s="56" t="n">
        <x:v>3</x:v>
      </x:c>
      <x:c r="H56" s="56" t="n">
        <x:v>3</x:v>
      </x:c>
      <x:c r="I56" s="56" t="n">
        <x:v>3</x:v>
      </x:c>
      <x:c r="J56" s="56" t="n">
        <x:v>3</x:v>
      </x:c>
      <x:c r="K56" s="11" t="str">
        <x:v>固定参数；不随技能等级变化</x:v>
      </x:c>
    </x:row>
    <x:row r="57" ht="24" customHeight="1">
      <x:c r="A57" s="20" t="str">
        <x:v>[E2-8]</x:v>
      </x:c>
      <x:c r="B57" s="20" t="str">
        <x:v>E2｜吞害</x:v>
      </x:c>
      <x:c r="C57" s="20" t="str">
        <x:v>每格食质承伤阈值</x:v>
      </x:c>
      <x:c r="D57" s="20" t="str">
        <x:v>%</x:v>
      </x:c>
      <x:c r="E57" s="56" t="n">
        <x:v>15</x:v>
      </x:c>
      <x:c r="F57" s="56" t="n">
        <x:v>15</x:v>
      </x:c>
      <x:c r="G57" s="56" t="n">
        <x:v>15</x:v>
      </x:c>
      <x:c r="H57" s="56" t="n">
        <x:v>15</x:v>
      </x:c>
      <x:c r="I57" s="56" t="n">
        <x:v>15</x:v>
      </x:c>
      <x:c r="J57" s="56" t="n">
        <x:v>15</x:v>
      </x:c>
      <x:c r="K57" s="11" t="str">
        <x:v>固定参数；不随技能等级变化</x:v>
      </x:c>
    </x:row>
    <x:row r="58" ht="24" customHeight="1">
      <x:c r="A58" s="20" t="str">
        <x:v>[E2-9]</x:v>
      </x:c>
      <x:c r="B58" s="20" t="str">
        <x:v>E2｜吞害</x:v>
      </x:c>
      <x:c r="C58" s="20" t="str">
        <x:v>每次生成食质</x:v>
      </x:c>
      <x:c r="D58" s="20" t="str">
        <x:v>格</x:v>
      </x:c>
      <x:c r="E58" s="56" t="n">
        <x:v>1</x:v>
      </x:c>
      <x:c r="F58" s="56" t="n">
        <x:v>1</x:v>
      </x:c>
      <x:c r="G58" s="56" t="n">
        <x:v>1</x:v>
      </x:c>
      <x:c r="H58" s="56" t="n">
        <x:v>1</x:v>
      </x:c>
      <x:c r="I58" s="56" t="n">
        <x:v>1</x:v>
      </x:c>
      <x:c r="J58" s="56" t="n">
        <x:v>1</x:v>
      </x:c>
      <x:c r="K58" s="11" t="str">
        <x:v>固定参数；不随技能等级变化</x:v>
      </x:c>
    </x:row>
    <x:row r="59" ht="24" customHeight="1">
      <x:c r="A59" s="20" t="str">
        <x:v>[E2-10]</x:v>
      </x:c>
      <x:c r="B59" s="20" t="str">
        <x:v>E2｜吞害</x:v>
      </x:c>
      <x:c r="C59" s="20" t="str">
        <x:v>单次食质获取上限</x:v>
      </x:c>
      <x:c r="D59" s="20" t="str">
        <x:v>格</x:v>
      </x:c>
      <x:c r="E59" s="56" t="n">
        <x:v>2</x:v>
      </x:c>
      <x:c r="F59" s="56" t="n">
        <x:v>2</x:v>
      </x:c>
      <x:c r="G59" s="56" t="n">
        <x:v>2</x:v>
      </x:c>
      <x:c r="H59" s="56" t="n">
        <x:v>2</x:v>
      </x:c>
      <x:c r="I59" s="56" t="n">
        <x:v>2</x:v>
      </x:c>
      <x:c r="J59" s="56" t="n">
        <x:v>2</x:v>
      </x:c>
      <x:c r="K59" s="11" t="str">
        <x:v>固定参数；不随技能等级变化</x:v>
      </x:c>
    </x:row>
    <x:row r="60" ht="24" customHeight="1">
      <x:c r="A60" s="20" t="str">
        <x:v>[E2-11]</x:v>
      </x:c>
      <x:c r="B60" s="20" t="str">
        <x:v>E2｜吞害</x:v>
      </x:c>
      <x:c r="C60" s="20" t="str">
        <x:v>强化冲击长度</x:v>
      </x:c>
      <x:c r="D60" s="20" t="str">
        <x:v>米</x:v>
      </x:c>
      <x:c r="E60" s="56" t="n">
        <x:v>9</x:v>
      </x:c>
      <x:c r="F60" s="56" t="n">
        <x:v>9</x:v>
      </x:c>
      <x:c r="G60" s="56" t="n">
        <x:v>9</x:v>
      </x:c>
      <x:c r="H60" s="56" t="n">
        <x:v>9</x:v>
      </x:c>
      <x:c r="I60" s="56" t="n">
        <x:v>9</x:v>
      </x:c>
      <x:c r="J60" s="56" t="n">
        <x:v>9</x:v>
      </x:c>
      <x:c r="K60" s="11" t="str">
        <x:v>固定参数；不随技能等级变化</x:v>
      </x:c>
    </x:row>
    <x:row r="61" ht="24" customHeight="1">
      <x:c r="A61" s="20" t="str">
        <x:v>[E2-12]</x:v>
      </x:c>
      <x:c r="B61" s="20" t="str">
        <x:v>E2｜吞害</x:v>
      </x:c>
      <x:c r="C61" s="20" t="str">
        <x:v>强化冲击宽度</x:v>
      </x:c>
      <x:c r="D61" s="20" t="str">
        <x:v>米</x:v>
      </x:c>
      <x:c r="E61" s="56" t="n">
        <x:v>4</x:v>
      </x:c>
      <x:c r="F61" s="56" t="n">
        <x:v>4</x:v>
      </x:c>
      <x:c r="G61" s="56" t="n">
        <x:v>4</x:v>
      </x:c>
      <x:c r="H61" s="56" t="n">
        <x:v>4</x:v>
      </x:c>
      <x:c r="I61" s="56" t="n">
        <x:v>4</x:v>
      </x:c>
      <x:c r="J61" s="56" t="n">
        <x:v>4</x:v>
      </x:c>
      <x:c r="K61" s="11" t="str">
        <x:v>固定参数；不随技能等级变化</x:v>
      </x:c>
    </x:row>
    <x:row r="62" ht="24" customHeight="1">
      <x:c r="A62" s="20" t="str">
        <x:v>[E2-13]</x:v>
      </x:c>
      <x:c r="B62" s="20" t="str">
        <x:v>E2｜吞害</x:v>
      </x:c>
      <x:c r="C62" s="20" t="str">
        <x:v>冲击固定伤害</x:v>
      </x:c>
      <x:c r="D62" s="20" t="str">
        <x:v>点</x:v>
      </x:c>
      <x:c r="E62" s="56" t="n">
        <x:v>70</x:v>
      </x:c>
      <x:c r="F62" s="56" t="n">
        <x:v>92</x:v>
      </x:c>
      <x:c r="G62" s="56" t="n">
        <x:v>125</x:v>
      </x:c>
      <x:c r="H62" s="60" t="n">
        <x:v>180</x:v>
      </x:c>
      <x:c r="I62" s="60" t="n">
        <x:v>254</x:v>
      </x:c>
      <x:c r="J62" s="60" t="n">
        <x:v>345</x:v>
      </x:c>
      <x:c r="K62" s="11" t="str"/>
    </x:row>
    <x:row r="63" ht="24" customHeight="1">
      <x:c r="A63" s="20" t="str">
        <x:v>[E2-14]</x:v>
      </x:c>
      <x:c r="B63" s="20" t="str">
        <x:v>E2｜吞害</x:v>
      </x:c>
      <x:c r="C63" s="20" t="str">
        <x:v>冲击AP系数</x:v>
      </x:c>
      <x:c r="D63" s="20" t="str">
        <x:v>%AP</x:v>
      </x:c>
      <x:c r="E63" s="56" t="n">
        <x:v>80</x:v>
      </x:c>
      <x:c r="F63" s="56" t="n">
        <x:v>86</x:v>
      </x:c>
      <x:c r="G63" s="56" t="n">
        <x:v>94</x:v>
      </x:c>
      <x:c r="H63" s="60" t="n">
        <x:v>108</x:v>
      </x:c>
      <x:c r="I63" s="60" t="n">
        <x:v>127</x:v>
      </x:c>
      <x:c r="J63" s="60" t="n">
        <x:v>150</x:v>
      </x:c>
      <x:c r="K63" s="11" t="str"/>
    </x:row>
    <x:row r="64" ht="24" customHeight="1">
      <x:c r="A64" s="20" t="str">
        <x:v>[E2-15]</x:v>
      </x:c>
      <x:c r="B64" s="20" t="str">
        <x:v>E2｜吞害</x:v>
      </x:c>
      <x:c r="C64" s="20" t="str">
        <x:v>基础冷却</x:v>
      </x:c>
      <x:c r="D64" s="20" t="str">
        <x:v>秒</x:v>
      </x:c>
      <x:c r="E64" s="58" t="n">
        <x:v>17</x:v>
      </x:c>
      <x:c r="F64" s="58" t="n">
        <x:v>16.68</x:v>
      </x:c>
      <x:c r="G64" s="58" t="n">
        <x:v>16.2</x:v>
      </x:c>
      <x:c r="H64" s="62" t="n">
        <x:v>15.4</x:v>
      </x:c>
      <x:c r="I64" s="62" t="n">
        <x:v>14.32</x:v>
      </x:c>
      <x:c r="J64" s="62" t="n">
        <x:v>13</x:v>
      </x:c>
      <x:c r="K64" s="11" t="str"/>
    </x:row>
    <x:row r="65" ht="24" customHeight="1">
      <x:c r="A65" s="30" t="str">
        <x:v>[E3-1]</x:v>
      </x:c>
      <x:c r="B65" s="30" t="str">
        <x:v>E3｜消化</x:v>
      </x:c>
      <x:c r="C65" s="30" t="str">
        <x:v>最大消耗食质</x:v>
      </x:c>
      <x:c r="D65" s="30" t="str">
        <x:v>格</x:v>
      </x:c>
      <x:c r="E65" s="56" t="n">
        <x:v>3</x:v>
      </x:c>
      <x:c r="F65" s="56" t="n">
        <x:v>3</x:v>
      </x:c>
      <x:c r="G65" s="56" t="n">
        <x:v>3</x:v>
      </x:c>
      <x:c r="H65" s="56" t="n">
        <x:v>3</x:v>
      </x:c>
      <x:c r="I65" s="56" t="n">
        <x:v>3</x:v>
      </x:c>
      <x:c r="J65" s="56" t="n">
        <x:v>3</x:v>
      </x:c>
      <x:c r="K65" s="11" t="str">
        <x:v>固定参数；不随技能等级变化</x:v>
      </x:c>
    </x:row>
    <x:row r="66" ht="24" customHeight="1">
      <x:c r="A66" s="20" t="str">
        <x:v>[E3-2]</x:v>
      </x:c>
      <x:c r="B66" s="20" t="str">
        <x:v>E3｜消化</x:v>
      </x:c>
      <x:c r="C66" s="20" t="str">
        <x:v>每格最大生命回复</x:v>
      </x:c>
      <x:c r="D66" s="20" t="str">
        <x:v>%</x:v>
      </x:c>
      <x:c r="E66" s="58" t="n">
        <x:v>4</x:v>
      </x:c>
      <x:c r="F66" s="58" t="n">
        <x:v>4.4</x:v>
      </x:c>
      <x:c r="G66" s="58" t="n">
        <x:v>5.1</x:v>
      </x:c>
      <x:c r="H66" s="62" t="n">
        <x:v>6.3</x:v>
      </x:c>
      <x:c r="I66" s="62" t="n">
        <x:v>8</x:v>
      </x:c>
      <x:c r="J66" s="62" t="n">
        <x:v>10.3</x:v>
      </x:c>
      <x:c r="K66" s="11" t="str"/>
    </x:row>
    <x:row r="67" ht="24" customHeight="1">
      <x:c r="A67" s="20" t="str">
        <x:v>[E3-3]</x:v>
      </x:c>
      <x:c r="B67" s="20" t="str">
        <x:v>E3｜消化</x:v>
      </x:c>
      <x:c r="C67" s="20" t="str">
        <x:v>饱暖持续</x:v>
      </x:c>
      <x:c r="D67" s="20" t="str">
        <x:v>秒</x:v>
      </x:c>
      <x:c r="E67" s="56" t="n">
        <x:v>5</x:v>
      </x:c>
      <x:c r="F67" s="56" t="n">
        <x:v>5</x:v>
      </x:c>
      <x:c r="G67" s="56" t="n">
        <x:v>5</x:v>
      </x:c>
      <x:c r="H67" s="56" t="n">
        <x:v>5</x:v>
      </x:c>
      <x:c r="I67" s="56" t="n">
        <x:v>5</x:v>
      </x:c>
      <x:c r="J67" s="56" t="n">
        <x:v>5</x:v>
      </x:c>
      <x:c r="K67" s="11" t="str">
        <x:v>固定参数；不随技能等级变化</x:v>
      </x:c>
    </x:row>
    <x:row r="68" ht="24" customHeight="1">
      <x:c r="A68" s="20" t="str">
        <x:v>[E3-4]</x:v>
      </x:c>
      <x:c r="B68" s="20" t="str">
        <x:v>E3｜消化</x:v>
      </x:c>
      <x:c r="C68" s="20" t="str">
        <x:v>每层防御力提高</x:v>
      </x:c>
      <x:c r="D68" s="20" t="str">
        <x:v>%</x:v>
      </x:c>
      <x:c r="E68" s="56" t="n">
        <x:v>6</x:v>
      </x:c>
      <x:c r="F68" s="56" t="n">
        <x:v>7</x:v>
      </x:c>
      <x:c r="G68" s="56" t="n">
        <x:v>8</x:v>
      </x:c>
      <x:c r="H68" s="60" t="n">
        <x:v>9</x:v>
      </x:c>
      <x:c r="I68" s="60" t="n">
        <x:v>11</x:v>
      </x:c>
      <x:c r="J68" s="60" t="n">
        <x:v>14</x:v>
      </x:c>
      <x:c r="K68" s="11" t="str"/>
    </x:row>
    <x:row r="69" ht="24" customHeight="1">
      <x:c r="A69" s="20" t="str">
        <x:v>[E3-5]</x:v>
      </x:c>
      <x:c r="B69" s="20" t="str">
        <x:v>E3｜消化</x:v>
      </x:c>
      <x:c r="C69" s="20" t="str">
        <x:v>每层移速提高</x:v>
      </x:c>
      <x:c r="D69" s="20" t="str">
        <x:v>%</x:v>
      </x:c>
      <x:c r="E69" s="56" t="n">
        <x:v>4</x:v>
      </x:c>
      <x:c r="F69" s="56" t="n">
        <x:v>4</x:v>
      </x:c>
      <x:c r="G69" s="56" t="n">
        <x:v>5</x:v>
      </x:c>
      <x:c r="H69" s="60" t="n">
        <x:v>6</x:v>
      </x:c>
      <x:c r="I69" s="60" t="n">
        <x:v>7</x:v>
      </x:c>
      <x:c r="J69" s="60" t="n">
        <x:v>9</x:v>
      </x:c>
      <x:c r="K69" s="11" t="str"/>
    </x:row>
    <x:row r="70" ht="24" customHeight="1">
      <x:c r="A70" s="20" t="str">
        <x:v>[E3-6]</x:v>
      </x:c>
      <x:c r="B70" s="20" t="str">
        <x:v>E3｜消化</x:v>
      </x:c>
      <x:c r="C70" s="20" t="str">
        <x:v>基础冷却</x:v>
      </x:c>
      <x:c r="D70" s="20" t="str">
        <x:v>秒</x:v>
      </x:c>
      <x:c r="E70" s="58" t="n">
        <x:v>22</x:v>
      </x:c>
      <x:c r="F70" s="58" t="n">
        <x:v>21.52</x:v>
      </x:c>
      <x:c r="G70" s="58" t="n">
        <x:v>20.8</x:v>
      </x:c>
      <x:c r="H70" s="62" t="n">
        <x:v>19.6</x:v>
      </x:c>
      <x:c r="I70" s="62" t="n">
        <x:v>17.98</x:v>
      </x:c>
      <x:c r="J70" s="62" t="n">
        <x:v>16</x:v>
      </x:c>
      <x:c r="K70" s="11" t="str"/>
    </x:row>
    <x:row r="71" ht="24" customHeight="1">
      <x:c r="A71" s="30" t="str">
        <x:v>[P1-1]</x:v>
      </x:c>
      <x:c r="B71" s="30" t="str">
        <x:v>P1｜消化良好</x:v>
      </x:c>
      <x:c r="C71" s="30" t="str">
        <x:v>每格食质最大生命恢复</x:v>
      </x:c>
      <x:c r="D71" s="30" t="str">
        <x:v>%</x:v>
      </x:c>
      <x:c r="E71" s="58" t="n">
        <x:v>0.8</x:v>
      </x:c>
      <x:c r="F71" s="58" t="n">
        <x:v>1.2</x:v>
      </x:c>
      <x:c r="G71" s="62" t="n">
        <x:v>2</x:v>
      </x:c>
      <x:c r="H71" s="62" t="n">
        <x:v>3.3</x:v>
      </x:c>
      <x:c r="I71" s="34"/>
      <x:c r="J71" s="34"/>
      <x:c r="K71" s="11" t="str"/>
    </x:row>
    <x:row r="72" ht="24" customHeight="1">
      <x:c r="A72" s="30" t="str">
        <x:v>[P2-1]</x:v>
      </x:c>
      <x:c r="B72" s="30" t="str">
        <x:v>P2｜越撑越凶</x:v>
      </x:c>
      <x:c r="C72" s="30" t="str">
        <x:v>每格攻击力提高</x:v>
      </x:c>
      <x:c r="D72" s="30" t="str">
        <x:v>%</x:v>
      </x:c>
      <x:c r="E72" s="58" t="n">
        <x:v>1.5</x:v>
      </x:c>
      <x:c r="F72" s="58" t="n">
        <x:v>2</x:v>
      </x:c>
      <x:c r="G72" s="62" t="n">
        <x:v>3.2</x:v>
      </x:c>
      <x:c r="H72" s="62" t="n">
        <x:v>5.5</x:v>
      </x:c>
      <x:c r="I72" s="34"/>
      <x:c r="J72" s="34"/>
      <x:c r="K72" s="11" t="str"/>
    </x:row>
    <x:row r="73" ht="24" customHeight="1">
      <x:c r="A73" s="20" t="str">
        <x:v>[P2-2]</x:v>
      </x:c>
      <x:c r="B73" s="20" t="str">
        <x:v>P2｜越撑越凶</x:v>
      </x:c>
      <x:c r="C73" s="20" t="str">
        <x:v>每格法术强度提高</x:v>
      </x:c>
      <x:c r="D73" s="20" t="str">
        <x:v>%</x:v>
      </x:c>
      <x:c r="E73" s="58" t="n">
        <x:v>1.5</x:v>
      </x:c>
      <x:c r="F73" s="58" t="n">
        <x:v>2</x:v>
      </x:c>
      <x:c r="G73" s="62" t="n">
        <x:v>3.2</x:v>
      </x:c>
      <x:c r="H73" s="62" t="n">
        <x:v>5.5</x:v>
      </x:c>
      <x:c r="I73" s="34"/>
      <x:c r="J73" s="34"/>
      <x:c r="K73" s="11" t="str"/>
    </x:row>
    <x:row r="74" ht="24" customHeight="1">
      <x:c r="A74" s="30" t="str">
        <x:v>[P3-1]</x:v>
      </x:c>
      <x:c r="B74" s="30" t="str">
        <x:v>P3｜空腹猎食</x:v>
      </x:c>
      <x:c r="C74" s="30" t="str">
        <x:v>空腹移速加成</x:v>
      </x:c>
      <x:c r="D74" s="30" t="str">
        <x:v>%</x:v>
      </x:c>
      <x:c r="E74" s="56" t="n">
        <x:v>10</x:v>
      </x:c>
      <x:c r="F74" s="56" t="n">
        <x:v>15</x:v>
      </x:c>
      <x:c r="G74" s="60" t="n">
        <x:v>25</x:v>
      </x:c>
      <x:c r="H74" s="60" t="n">
        <x:v>42</x:v>
      </x:c>
      <x:c r="I74" s="34"/>
      <x:c r="J74" s="34"/>
      <x:c r="K74" s="11" t="str"/>
    </x:row>
    <x:row r="75" ht="24" customHeight="1">
      <x:c r="A75" s="20" t="str">
        <x:v>[P3-2]</x:v>
      </x:c>
      <x:c r="B75" s="20" t="str">
        <x:v>P3｜空腹猎食</x:v>
      </x:c>
      <x:c r="C75" s="20" t="str">
        <x:v>空腹攻速加成</x:v>
      </x:c>
      <x:c r="D75" s="20" t="str">
        <x:v>%</x:v>
      </x:c>
      <x:c r="E75" s="56" t="n">
        <x:v>12</x:v>
      </x:c>
      <x:c r="F75" s="56" t="n">
        <x:v>18</x:v>
      </x:c>
      <x:c r="G75" s="60" t="n">
        <x:v>30</x:v>
      </x:c>
      <x:c r="H75" s="60" t="n">
        <x:v>50</x:v>
      </x:c>
      <x:c r="I75" s="34"/>
      <x:c r="J75" s="34"/>
      <x:c r="K75" s="11" t="str"/>
    </x:row>
    <x:row r="76" ht="24" customHeight="1">
      <x:c r="A76" s="20" t="str">
        <x:v>[P3-3]</x:v>
      </x:c>
      <x:c r="B76" s="20" t="str">
        <x:v>P3｜空腹猎食</x:v>
      </x:c>
      <x:c r="C76" s="20" t="str">
        <x:v>空腹吸血</x:v>
      </x:c>
      <x:c r="D76" s="20" t="str">
        <x:v>%</x:v>
      </x:c>
      <x:c r="E76" s="56" t="n">
        <x:v>3</x:v>
      </x:c>
      <x:c r="F76" s="56" t="n">
        <x:v>5</x:v>
      </x:c>
      <x:c r="G76" s="60" t="n">
        <x:v>9</x:v>
      </x:c>
      <x:c r="H76" s="60" t="n">
        <x:v>15</x:v>
      </x:c>
      <x:c r="I76" s="34"/>
      <x:c r="J76" s="34"/>
      <x:c r="K76" s="11" t="str"/>
    </x:row>
    <x:row r="77" ht="24" customHeight="1">
      <x:c r="A77" s="30" t="str">
        <x:v>[R1-1]</x:v>
      </x:c>
      <x:c r="B77" s="30" t="str">
        <x:v>R1｜暴食天灾</x:v>
      </x:c>
      <x:c r="C77" s="30" t="str">
        <x:v>暴食体持续</x:v>
      </x:c>
      <x:c r="D77" s="30" t="str">
        <x:v>秒</x:v>
      </x:c>
      <x:c r="E77" s="58" t="n">
        <x:v>10</x:v>
      </x:c>
      <x:c r="F77" s="58" t="n">
        <x:v>10.8</x:v>
      </x:c>
      <x:c r="G77" s="62" t="n">
        <x:v>12.5</x:v>
      </x:c>
      <x:c r="H77" s="62" t="n">
        <x:v>15</x:v>
      </x:c>
      <x:c r="I77" s="34"/>
      <x:c r="J77" s="34"/>
      <x:c r="K77" s="11" t="str"/>
    </x:row>
    <x:row r="78" ht="24" customHeight="1">
      <x:c r="A78" s="20" t="str">
        <x:v>[R1-2]</x:v>
      </x:c>
      <x:c r="B78" s="20" t="str">
        <x:v>R1｜暴食天灾</x:v>
      </x:c>
      <x:c r="C78" s="20" t="str">
        <x:v>普通攻击范围提高</x:v>
      </x:c>
      <x:c r="D78" s="20" t="str">
        <x:v>%</x:v>
      </x:c>
      <x:c r="E78" s="56" t="n">
        <x:v>20</x:v>
      </x:c>
      <x:c r="F78" s="56" t="n">
        <x:v>26</x:v>
      </x:c>
      <x:c r="G78" s="60" t="n">
        <x:v>40</x:v>
      </x:c>
      <x:c r="H78" s="60" t="n">
        <x:v>65</x:v>
      </x:c>
      <x:c r="I78" s="34"/>
      <x:c r="J78" s="34"/>
      <x:c r="K78" s="11" t="str"/>
    </x:row>
    <x:row r="79" ht="24" customHeight="1">
      <x:c r="A79" s="20" t="str">
        <x:v>[R1-3]</x:v>
      </x:c>
      <x:c r="B79" s="20" t="str">
        <x:v>R1｜暴食天灾</x:v>
      </x:c>
      <x:c r="C79" s="20" t="str">
        <x:v>移动速度提高</x:v>
      </x:c>
      <x:c r="D79" s="20" t="str">
        <x:v>%</x:v>
      </x:c>
      <x:c r="E79" s="56" t="n">
        <x:v>15</x:v>
      </x:c>
      <x:c r="F79" s="56" t="n">
        <x:v>19</x:v>
      </x:c>
      <x:c r="G79" s="60" t="n">
        <x:v>27</x:v>
      </x:c>
      <x:c r="H79" s="60" t="n">
        <x:v>40</x:v>
      </x:c>
      <x:c r="I79" s="34"/>
      <x:c r="J79" s="34"/>
      <x:c r="K79" s="11" t="str"/>
    </x:row>
    <x:row r="80" ht="24" customHeight="1">
      <x:c r="A80" s="20" t="str">
        <x:v>[R1-4]</x:v>
      </x:c>
      <x:c r="B80" s="20" t="str">
        <x:v>R1｜暴食天灾</x:v>
      </x:c>
      <x:c r="C80" s="20" t="str">
        <x:v>吸血提高</x:v>
      </x:c>
      <x:c r="D80" s="20" t="str">
        <x:v>%</x:v>
      </x:c>
      <x:c r="E80" s="56" t="n">
        <x:v>8</x:v>
      </x:c>
      <x:c r="F80" s="56" t="n">
        <x:v>11</x:v>
      </x:c>
      <x:c r="G80" s="60" t="n">
        <x:v>17</x:v>
      </x:c>
      <x:c r="H80" s="60" t="n">
        <x:v>27</x:v>
      </x:c>
      <x:c r="I80" s="34"/>
      <x:c r="J80" s="34"/>
      <x:c r="K80" s="11" t="str"/>
    </x:row>
    <x:row r="81" ht="24" customHeight="1">
      <x:c r="A81" s="20" t="str">
        <x:v>[R1-5]</x:v>
      </x:c>
      <x:c r="B81" s="20" t="str">
        <x:v>R1｜暴食天灾</x:v>
      </x:c>
      <x:c r="C81" s="20" t="str">
        <x:v>腹口攻击范围提高</x:v>
      </x:c>
      <x:c r="D81" s="20" t="str">
        <x:v>%</x:v>
      </x:c>
      <x:c r="E81" s="56" t="n">
        <x:v>30</x:v>
      </x:c>
      <x:c r="F81" s="56" t="n">
        <x:v>38</x:v>
      </x:c>
      <x:c r="G81" s="60" t="n">
        <x:v>55</x:v>
      </x:c>
      <x:c r="H81" s="60" t="n">
        <x:v>85</x:v>
      </x:c>
      <x:c r="I81" s="34"/>
      <x:c r="J81" s="34"/>
      <x:c r="K81" s="11" t="str"/>
    </x:row>
    <x:row r="82" ht="24" customHeight="1">
      <x:c r="A82" s="20" t="str">
        <x:v>[R1-6]</x:v>
      </x:c>
      <x:c r="B82" s="20" t="str">
        <x:v>R1｜暴食天灾</x:v>
      </x:c>
      <x:c r="C82" s="20" t="str">
        <x:v>基础冷却</x:v>
      </x:c>
      <x:c r="D82" s="20" t="str">
        <x:v>秒</x:v>
      </x:c>
      <x:c r="E82" s="56" t="n">
        <x:v>140</x:v>
      </x:c>
      <x:c r="F82" s="56" t="n">
        <x:v>132</x:v>
      </x:c>
      <x:c r="G82" s="60" t="n">
        <x:v>118</x:v>
      </x:c>
      <x:c r="H82" s="60" t="n">
        <x:v>100</x:v>
      </x:c>
      <x:c r="I82" s="34"/>
      <x:c r="J82" s="34"/>
      <x:c r="K82" s="11" t="str"/>
    </x:row>
    <x:row r="83" ht="24" customHeight="1">
      <x:c r="A83" s="30" t="str">
        <x:v>[R2-1]</x:v>
      </x:c>
      <x:c r="B83" s="30" t="str">
        <x:v>R2｜吞天</x:v>
      </x:c>
      <x:c r="C83" s="30" t="str">
        <x:v>吞天持续</x:v>
      </x:c>
      <x:c r="D83" s="30" t="str">
        <x:v>秒</x:v>
      </x:c>
      <x:c r="E83" s="58" t="n">
        <x:v>4</x:v>
      </x:c>
      <x:c r="F83" s="58" t="n">
        <x:v>4.4</x:v>
      </x:c>
      <x:c r="G83" s="62" t="n">
        <x:v>5.2</x:v>
      </x:c>
      <x:c r="H83" s="62" t="n">
        <x:v>6.5</x:v>
      </x:c>
      <x:c r="I83" s="34"/>
      <x:c r="J83" s="34"/>
      <x:c r="K83" s="11" t="str"/>
    </x:row>
    <x:row r="84" ht="24" customHeight="1">
      <x:c r="A84" s="20" t="str">
        <x:v>[R2-2]</x:v>
      </x:c>
      <x:c r="B84" s="20" t="str">
        <x:v>R2｜吞天</x:v>
      </x:c>
      <x:c r="C84" s="20" t="str">
        <x:v>深渊半径</x:v>
      </x:c>
      <x:c r="D84" s="20" t="str">
        <x:v>米</x:v>
      </x:c>
      <x:c r="E84" s="58" t="n">
        <x:v>10</x:v>
      </x:c>
      <x:c r="F84" s="58" t="n">
        <x:v>10.54</x:v>
      </x:c>
      <x:c r="G84" s="62" t="n">
        <x:v>11.5</x:v>
      </x:c>
      <x:c r="H84" s="62" t="n">
        <x:v>13</x:v>
      </x:c>
      <x:c r="I84" s="34"/>
      <x:c r="J84" s="34"/>
      <x:c r="K84" s="11" t="str"/>
    </x:row>
    <x:row r="85" ht="24" customHeight="1">
      <x:c r="A85" s="20" t="str">
        <x:v>[R2-3]</x:v>
      </x:c>
      <x:c r="B85" s="20" t="str">
        <x:v>R2｜吞天</x:v>
      </x:c>
      <x:c r="C85" s="20" t="str">
        <x:v>普通怪牵引速度</x:v>
      </x:c>
      <x:c r="D85" s="20" t="str">
        <x:v>米/秒</x:v>
      </x:c>
      <x:c r="E85" s="56" t="n">
        <x:v>5</x:v>
      </x:c>
      <x:c r="F85" s="56" t="n">
        <x:v>5</x:v>
      </x:c>
      <x:c r="G85" s="56" t="n">
        <x:v>5</x:v>
      </x:c>
      <x:c r="H85" s="56" t="n">
        <x:v>5</x:v>
      </x:c>
      <x:c r="I85" s="34"/>
      <x:c r="J85" s="34"/>
      <x:c r="K85" s="11" t="str">
        <x:v>固定参数；不随技能等级变化</x:v>
      </x:c>
    </x:row>
    <x:row r="86" ht="24" customHeight="1">
      <x:c r="A86" s="20" t="str">
        <x:v>[R2-4]</x:v>
      </x:c>
      <x:c r="B86" s="20" t="str">
        <x:v>R2｜吞天</x:v>
      </x:c>
      <x:c r="C86" s="20" t="str">
        <x:v>吞入中心半径</x:v>
      </x:c>
      <x:c r="D86" s="20" t="str">
        <x:v>米</x:v>
      </x:c>
      <x:c r="E86" s="58" t="n">
        <x:v>2.5</x:v>
      </x:c>
      <x:c r="F86" s="58" t="n">
        <x:v>2.5</x:v>
      </x:c>
      <x:c r="G86" s="58" t="n">
        <x:v>2.5</x:v>
      </x:c>
      <x:c r="H86" s="58" t="n">
        <x:v>2.5</x:v>
      </x:c>
      <x:c r="I86" s="34"/>
      <x:c r="J86" s="34"/>
      <x:c r="K86" s="11" t="str">
        <x:v>固定参数；不随技能等级变化</x:v>
      </x:c>
    </x:row>
    <x:row r="87" ht="24" customHeight="1">
      <x:c r="A87" s="20" t="str">
        <x:v>[R2-5]</x:v>
      </x:c>
      <x:c r="B87" s="20" t="str">
        <x:v>R2｜吞天</x:v>
      </x:c>
      <x:c r="C87" s="20" t="str">
        <x:v>普通怪吞入上限</x:v>
      </x:c>
      <x:c r="D87" s="20" t="str">
        <x:v>名</x:v>
      </x:c>
      <x:c r="E87" s="56" t="n">
        <x:v>20</x:v>
      </x:c>
      <x:c r="F87" s="56" t="n">
        <x:v>20</x:v>
      </x:c>
      <x:c r="G87" s="56" t="n">
        <x:v>20</x:v>
      </x:c>
      <x:c r="H87" s="56" t="n">
        <x:v>20</x:v>
      </x:c>
      <x:c r="I87" s="34"/>
      <x:c r="J87" s="34"/>
      <x:c r="K87" s="11" t="str">
        <x:v>固定参数；不随技能等级变化</x:v>
      </x:c>
    </x:row>
    <x:row r="88" ht="24" customHeight="1">
      <x:c r="A88" s="20" t="str">
        <x:v>[R2-6]</x:v>
      </x:c>
      <x:c r="B88" s="20" t="str">
        <x:v>R2｜吞天</x:v>
      </x:c>
      <x:c r="C88" s="20" t="str">
        <x:v>精英牵引速度</x:v>
      </x:c>
      <x:c r="D88" s="20" t="str">
        <x:v>米/秒</x:v>
      </x:c>
      <x:c r="E88" s="58" t="n">
        <x:v>1.5</x:v>
      </x:c>
      <x:c r="F88" s="58" t="n">
        <x:v>1.5</x:v>
      </x:c>
      <x:c r="G88" s="58" t="n">
        <x:v>1.5</x:v>
      </x:c>
      <x:c r="H88" s="58" t="n">
        <x:v>1.5</x:v>
      </x:c>
      <x:c r="I88" s="34"/>
      <x:c r="J88" s="34"/>
      <x:c r="K88" s="11" t="str">
        <x:v>固定参数；不随技能等级变化</x:v>
      </x:c>
    </x:row>
    <x:row r="89" ht="24" customHeight="1">
      <x:c r="A89" s="20" t="str">
        <x:v>[R2-7]</x:v>
      </x:c>
      <x:c r="B89" s="20" t="str">
        <x:v>R2｜吞天</x:v>
      </x:c>
      <x:c r="C89" s="20" t="str">
        <x:v>持续伤害间隔</x:v>
      </x:c>
      <x:c r="D89" s="20" t="str">
        <x:v>秒</x:v>
      </x:c>
      <x:c r="E89" s="58" t="n">
        <x:v>0.5</x:v>
      </x:c>
      <x:c r="F89" s="58" t="n">
        <x:v>0.5</x:v>
      </x:c>
      <x:c r="G89" s="58" t="n">
        <x:v>0.5</x:v>
      </x:c>
      <x:c r="H89" s="58" t="n">
        <x:v>0.5</x:v>
      </x:c>
      <x:c r="I89" s="34"/>
      <x:c r="J89" s="34"/>
      <x:c r="K89" s="11" t="str">
        <x:v>固定参数；不随技能等级变化</x:v>
      </x:c>
    </x:row>
    <x:row r="90" ht="24" customHeight="1">
      <x:c r="A90" s="20" t="str">
        <x:v>[R2-8]</x:v>
      </x:c>
      <x:c r="B90" s="20" t="str">
        <x:v>R2｜吞天</x:v>
      </x:c>
      <x:c r="C90" s="20" t="str">
        <x:v>每跳固定伤害</x:v>
      </x:c>
      <x:c r="D90" s="20" t="str">
        <x:v>点</x:v>
      </x:c>
      <x:c r="E90" s="56" t="n">
        <x:v>25</x:v>
      </x:c>
      <x:c r="F90" s="56" t="n">
        <x:v>35</x:v>
      </x:c>
      <x:c r="G90" s="60" t="n">
        <x:v>60</x:v>
      </x:c>
      <x:c r="H90" s="60" t="n">
        <x:v>100</x:v>
      </x:c>
      <x:c r="I90" s="34"/>
      <x:c r="J90" s="34"/>
      <x:c r="K90" s="11" t="str"/>
    </x:row>
    <x:row r="91" ht="24" customHeight="1">
      <x:c r="A91" s="20" t="str">
        <x:v>[R2-9]</x:v>
      </x:c>
      <x:c r="B91" s="20" t="str">
        <x:v>R2｜吞天</x:v>
      </x:c>
      <x:c r="C91" s="20" t="str">
        <x:v>每跳AP系数</x:v>
      </x:c>
      <x:c r="D91" s="20" t="str">
        <x:v>%AP</x:v>
      </x:c>
      <x:c r="E91" s="56" t="n">
        <x:v>22</x:v>
      </x:c>
      <x:c r="F91" s="56" t="n">
        <x:v>25</x:v>
      </x:c>
      <x:c r="G91" s="60" t="n">
        <x:v>33</x:v>
      </x:c>
      <x:c r="H91" s="60" t="n">
        <x:v>47</x:v>
      </x:c>
      <x:c r="I91" s="34"/>
      <x:c r="J91" s="34"/>
      <x:c r="K91" s="11" t="str"/>
    </x:row>
    <x:row r="92" ht="24" customHeight="1">
      <x:c r="A92" s="20" t="str">
        <x:v>[R2-10]</x:v>
      </x:c>
      <x:c r="B92" s="20" t="str">
        <x:v>R2｜吞天</x:v>
      </x:c>
      <x:c r="C92" s="20" t="str">
        <x:v>终爆球射程</x:v>
      </x:c>
      <x:c r="D92" s="20" t="str">
        <x:v>米</x:v>
      </x:c>
      <x:c r="E92" s="56" t="n">
        <x:v>18</x:v>
      </x:c>
      <x:c r="F92" s="56" t="n">
        <x:v>18</x:v>
      </x:c>
      <x:c r="G92" s="56" t="n">
        <x:v>18</x:v>
      </x:c>
      <x:c r="H92" s="56" t="n">
        <x:v>18</x:v>
      </x:c>
      <x:c r="I92" s="34"/>
      <x:c r="J92" s="34"/>
      <x:c r="K92" s="11" t="str">
        <x:v>固定参数；不随技能等级变化</x:v>
      </x:c>
    </x:row>
    <x:row r="93" ht="24" customHeight="1">
      <x:c r="A93" s="20" t="str">
        <x:v>[R2-11]</x:v>
      </x:c>
      <x:c r="B93" s="20" t="str">
        <x:v>R2｜吞天</x:v>
      </x:c>
      <x:c r="C93" s="20" t="str">
        <x:v>终爆球速度</x:v>
      </x:c>
      <x:c r="D93" s="20" t="str">
        <x:v>米/秒</x:v>
      </x:c>
      <x:c r="E93" s="56" t="n">
        <x:v>20</x:v>
      </x:c>
      <x:c r="F93" s="56" t="n">
        <x:v>20</x:v>
      </x:c>
      <x:c r="G93" s="56" t="n">
        <x:v>20</x:v>
      </x:c>
      <x:c r="H93" s="56" t="n">
        <x:v>20</x:v>
      </x:c>
      <x:c r="I93" s="34"/>
      <x:c r="J93" s="34"/>
      <x:c r="K93" s="11" t="str">
        <x:v>固定参数；不随技能等级变化</x:v>
      </x:c>
    </x:row>
    <x:row r="94" ht="24" customHeight="1">
      <x:c r="A94" s="20" t="str">
        <x:v>[R2-12]</x:v>
      </x:c>
      <x:c r="B94" s="20" t="str">
        <x:v>R2｜吞天</x:v>
      </x:c>
      <x:c r="C94" s="20" t="str">
        <x:v>终爆半径</x:v>
      </x:c>
      <x:c r="D94" s="20" t="str">
        <x:v>米</x:v>
      </x:c>
      <x:c r="E94" s="58" t="n">
        <x:v>6</x:v>
      </x:c>
      <x:c r="F94" s="58" t="n">
        <x:v>6.36</x:v>
      </x:c>
      <x:c r="G94" s="62" t="n">
        <x:v>7</x:v>
      </x:c>
      <x:c r="H94" s="62" t="n">
        <x:v>8</x:v>
      </x:c>
      <x:c r="I94" s="34"/>
      <x:c r="J94" s="34"/>
      <x:c r="K94" s="11" t="str"/>
    </x:row>
    <x:row r="95" ht="24" customHeight="1">
      <x:c r="A95" s="20" t="str">
        <x:v>[R2-13]</x:v>
      </x:c>
      <x:c r="B95" s="20" t="str">
        <x:v>R2｜吞天</x:v>
      </x:c>
      <x:c r="C95" s="20" t="str">
        <x:v>终爆固定伤害</x:v>
      </x:c>
      <x:c r="D95" s="20" t="str">
        <x:v>点</x:v>
      </x:c>
      <x:c r="E95" s="56" t="n">
        <x:v>350</x:v>
      </x:c>
      <x:c r="F95" s="56" t="n">
        <x:v>480</x:v>
      </x:c>
      <x:c r="G95" s="60" t="n">
        <x:v>790</x:v>
      </x:c>
      <x:c r="H95" s="60" t="n">
        <x:v>1280</x:v>
      </x:c>
      <x:c r="I95" s="34"/>
      <x:c r="J95" s="34"/>
      <x:c r="K95" s="11" t="str"/>
    </x:row>
    <x:row r="96" ht="24" customHeight="1">
      <x:c r="A96" s="20" t="str">
        <x:v>[R2-14]</x:v>
      </x:c>
      <x:c r="B96" s="20" t="str">
        <x:v>R2｜吞天</x:v>
      </x:c>
      <x:c r="C96" s="20" t="str">
        <x:v>终爆AP系数</x:v>
      </x:c>
      <x:c r="D96" s="20" t="str">
        <x:v>%AP</x:v>
      </x:c>
      <x:c r="E96" s="56" t="n">
        <x:v>300</x:v>
      </x:c>
      <x:c r="F96" s="56" t="n">
        <x:v>350</x:v>
      </x:c>
      <x:c r="G96" s="60" t="n">
        <x:v>460</x:v>
      </x:c>
      <x:c r="H96" s="60" t="n">
        <x:v>630</x:v>
      </x:c>
      <x:c r="I96" s="34"/>
      <x:c r="J96" s="34"/>
      <x:c r="K96" s="11" t="str"/>
    </x:row>
    <x:row r="97" ht="24" customHeight="1">
      <x:c r="A97" s="20" t="str">
        <x:v>[R2-15]</x:v>
      </x:c>
      <x:c r="B97" s="20" t="str">
        <x:v>R2｜吞天</x:v>
      </x:c>
      <x:c r="C97" s="20" t="str">
        <x:v>每吞入终爆增幅</x:v>
      </x:c>
      <x:c r="D97" s="20" t="str">
        <x:v>%</x:v>
      </x:c>
      <x:c r="E97" s="58" t="n">
        <x:v>3</x:v>
      </x:c>
      <x:c r="F97" s="58" t="n">
        <x:v>3.5</x:v>
      </x:c>
      <x:c r="G97" s="62" t="n">
        <x:v>4.7</x:v>
      </x:c>
      <x:c r="H97" s="62" t="n">
        <x:v>6.5</x:v>
      </x:c>
      <x:c r="I97" s="34"/>
      <x:c r="J97" s="34"/>
      <x:c r="K97" s="11" t="str"/>
    </x:row>
    <x:row r="98" ht="24" customHeight="1">
      <x:c r="A98" s="20" t="str">
        <x:v>[R2-16]</x:v>
      </x:c>
      <x:c r="B98" s="20" t="str">
        <x:v>R2｜吞天</x:v>
      </x:c>
      <x:c r="C98" s="20" t="str">
        <x:v>吞入总增幅上限</x:v>
      </x:c>
      <x:c r="D98" s="20" t="str">
        <x:v>%</x:v>
      </x:c>
      <x:c r="E98" s="56" t="n">
        <x:v>100</x:v>
      </x:c>
      <x:c r="F98" s="56" t="n">
        <x:v>100</x:v>
      </x:c>
      <x:c r="G98" s="56" t="n">
        <x:v>100</x:v>
      </x:c>
      <x:c r="H98" s="56" t="n">
        <x:v>100</x:v>
      </x:c>
      <x:c r="I98" s="34"/>
      <x:c r="J98" s="34"/>
      <x:c r="K98" s="11" t="str">
        <x:v>固定参数；不随技能等级变化</x:v>
      </x:c>
    </x:row>
    <x:row r="99" ht="24" customHeight="1">
      <x:c r="A99" s="20" t="str">
        <x:v>[R2-17]</x:v>
      </x:c>
      <x:c r="B99" s="20" t="str">
        <x:v>R2｜吞天</x:v>
      </x:c>
      <x:c r="C99" s="20" t="str">
        <x:v>基础冷却</x:v>
      </x:c>
      <x:c r="D99" s="20" t="str">
        <x:v>秒</x:v>
      </x:c>
      <x:c r="E99" s="56" t="n">
        <x:v>145</x:v>
      </x:c>
      <x:c r="F99" s="56" t="n">
        <x:v>137</x:v>
      </x:c>
      <x:c r="G99" s="60" t="n">
        <x:v>123</x:v>
      </x:c>
      <x:c r="H99" s="60" t="n">
        <x:v>105</x:v>
      </x:c>
      <x:c r="I99" s="34"/>
      <x:c r="J99" s="34"/>
      <x:c r="K99" s="11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f9a702b38564c8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15" hidden="0" customWidth="1"/>
    <x:col min="4" max="4" width="32" hidden="0" customWidth="1"/>
    <x:col min="5" max="5" width="10" hidden="0" customWidth="1"/>
    <x:col min="6" max="6" width="12" hidden="0" customWidth="1"/>
    <x:col min="7" max="7" width="64" hidden="0" customWidth="1"/>
  </x:cols>
  <x:sheetData>
    <x:row r="1" ht="36" customHeight="1">
      <x:c r="A1" s="7" t="str">
        <x:v>专属海克斯｜99项</x:v>
      </x:c>
      <x:c r="B1" s="7"/>
      <x:c r="C1" s="7"/>
      <x:c r="D1" s="7"/>
      <x:c r="E1" s="7"/>
      <x:c r="F1" s="7"/>
      <x:c r="G1" s="7"/>
    </x:row>
    <x:row r="2" ht="30" customHeight="1">
      <x:c r="A2" s="11" t="str">
        <x:v>海克斯不分品质或等级；所有参数为独立可编辑单值。无独立数值的机制仍保留在表内。</x:v>
      </x:c>
      <x:c r="B2" s="11"/>
      <x:c r="C2" s="11"/>
      <x:c r="D2" s="11"/>
      <x:c r="E2" s="11"/>
      <x:c r="F2" s="11"/>
      <x:c r="G2" s="11"/>
    </x:row>
    <x:row r="3" ht="24" customHeight="1">
      <x:c r="A3" s="3"/>
      <x:c r="B3" s="3"/>
      <x:c r="C3" s="3"/>
      <x:c r="D3" s="3"/>
      <x:c r="E3" s="3"/>
      <x:c r="F3" s="3"/>
      <x:c r="G3" s="3"/>
    </x:row>
    <x:row r="4" ht="28" customHeight="1">
      <x:c r="A4" s="16" t="str">
        <x:v>英雄</x:v>
      </x:c>
      <x:c r="B4" s="16" t="str">
        <x:v>海克斯</x:v>
      </x:c>
      <x:c r="C4" s="16" t="str">
        <x:v>占位编号</x:v>
      </x:c>
      <x:c r="D4" s="16" t="str">
        <x:v>数值项</x:v>
      </x:c>
      <x:c r="E4" s="16" t="str">
        <x:v>单位</x:v>
      </x:c>
      <x:c r="F4" s="16" t="str">
        <x:v>数值</x:v>
      </x:c>
      <x:c r="G4" s="16" t="str">
        <x:v>对应描述</x:v>
      </x:c>
    </x:row>
    <x:row r="5" ht="38" customHeight="1">
      <x:c r="A5" s="64" t="str">
        <x:v>风厉</x:v>
      </x:c>
      <x:c r="B5" s="64" t="str">
        <x:v>H01｜饮血磨锋</x:v>
      </x:c>
      <x:c r="C5" s="64" t="str">
        <x:v>[H01-1]</x:v>
      </x:c>
      <x:c r="D5" s="64" t="str">
        <x:v>每击杀永久固定伤害</x:v>
      </x:c>
      <x:c r="E5" s="20" t="str">
        <x:v>点</x:v>
      </x:c>
      <x:c r="F5" s="56" t="n">
        <x:v>1</x:v>
      </x:c>
      <x:c r="G5" s="20" t="str">
        <x:v>」完成击杀时，使其基础固定伤害在本局永久提高[H01-1]点；同一敌人只计一次击杀。</x:v>
      </x:c>
    </x:row>
    <x:row r="6" ht="38" customHeight="1">
      <x:c r="A6" s="64" t="str">
        <x:v>风厉</x:v>
      </x:c>
      <x:c r="B6" s="64" t="str">
        <x:v>H02｜杀意未歇</x:v>
      </x:c>
      <x:c r="C6" s="64" t="str">
        <x:v>[H02-1]</x:v>
      </x:c>
      <x:c r="D6" s="64" t="str">
        <x:v>攻速提高</x:v>
      </x:c>
      <x:c r="E6" s="20" t="str">
        <x:v>%</x:v>
      </x:c>
      <x:c r="F6" s="56" t="n">
        <x:v>18</x:v>
      </x:c>
      <x:c r="G6" s="20" t="str">
        <x:v>「连杀突刺」命中敌人后获得[H02-1]%攻击速度，持续[H02-2]秒；完成击杀时刷新持续时间，不叠加</x:v>
      </x:c>
    </x:row>
    <x:row r="7" ht="38" customHeight="1">
      <x:c r="A7" s="20" t="str">
        <x:v>风厉</x:v>
      </x:c>
      <x:c r="B7" s="20" t="str">
        <x:v>H02｜杀意未歇</x:v>
      </x:c>
      <x:c r="C7" s="20" t="str">
        <x:v>[H02-2]</x:v>
      </x:c>
      <x:c r="D7" s="20" t="str">
        <x:v>持续</x:v>
      </x:c>
      <x:c r="E7" s="20" t="str">
        <x:v>秒</x:v>
      </x:c>
      <x:c r="F7" s="56" t="n">
        <x:v>4</x:v>
      </x:c>
      <x:c r="G7" s="20" t="str">
        <x:v>命中敌人后获得[H02-1]%攻击速度，持续[H02-2]秒；完成击杀时刷新持续时间，不叠加数值。</x:v>
      </x:c>
    </x:row>
    <x:row r="8" ht="38" customHeight="1">
      <x:c r="A8" s="64" t="str">
        <x:v>风厉</x:v>
      </x:c>
      <x:c r="B8" s="64" t="str">
        <x:v>H03｜连杀追袭</x:v>
      </x:c>
      <x:c r="C8" s="64" t="str">
        <x:v>[H03-1]</x:v>
      </x:c>
      <x:c r="D8" s="64" t="str">
        <x:v>每击杀后续突袭增伤</x:v>
      </x:c>
      <x:c r="E8" s="20" t="str">
        <x:v>%</x:v>
      </x:c>
      <x:c r="F8" s="56" t="n">
        <x:v>30</x:v>
      </x:c>
      <x:c r="G8" s="20" t="str">
        <x:v>施法中每完成一次击杀，使后续突袭最终伤害提高[H03-1]%。</x:v>
      </x:c>
    </x:row>
    <x:row r="9" ht="38" customHeight="1">
      <x:c r="A9" s="64" t="str">
        <x:v>风厉</x:v>
      </x:c>
      <x:c r="B9" s="64" t="str">
        <x:v>H04｜无处可逃</x:v>
      </x:c>
      <x:c r="C9" s="64" t="str">
        <x:v>[H04-1]</x:v>
      </x:c>
      <x:c r="D9" s="64" t="str">
        <x:v>同目标突袭次数上限</x:v>
      </x:c>
      <x:c r="E9" s="20" t="str">
        <x:v>次</x:v>
      </x:c>
      <x:c r="F9" s="56" t="n">
        <x:v>2</x:v>
      </x:c>
      <x:c r="G9" s="20" t="str">
        <x:v>「多目标连续突袭」允许同一敌人最多被突袭[H04-1]次，仍优先寻找尚未命中的敌人；重复突袭造成原伤害的[H04-2]</x:v>
      </x:c>
    </x:row>
    <x:row r="10" ht="38" customHeight="1">
      <x:c r="A10" s="20" t="str">
        <x:v>风厉</x:v>
      </x:c>
      <x:c r="B10" s="20" t="str">
        <x:v>H04｜无处可逃</x:v>
      </x:c>
      <x:c r="C10" s="20" t="str">
        <x:v>[H04-2]</x:v>
      </x:c>
      <x:c r="D10" s="20" t="str">
        <x:v>重复突袭伤害保留</x:v>
      </x:c>
      <x:c r="E10" s="20" t="str">
        <x:v>%</x:v>
      </x:c>
      <x:c r="F10" s="56" t="n">
        <x:v>50</x:v>
      </x:c>
      <x:c r="G10" s="20" t="str">
        <x:v>优先寻找尚未命中的敌人；重复突袭造成原伤害的[H04-2]%。</x:v>
      </x:c>
    </x:row>
    <x:row r="11" ht="38" customHeight="1">
      <x:c r="A11" s="64" t="str">
        <x:v>风厉</x:v>
      </x:c>
      <x:c r="B11" s="64" t="str">
        <x:v>H05｜双重剑气</x:v>
      </x:c>
      <x:c r="C11" s="64" t="str">
        <x:v>[H05-1]</x:v>
      </x:c>
      <x:c r="D11" s="64" t="str">
        <x:v>充能次数</x:v>
      </x:c>
      <x:c r="E11" s="20" t="str">
        <x:v>次</x:v>
      </x:c>
      <x:c r="F11" s="56" t="n">
        <x:v>2</x:v>
      </x:c>
      <x:c r="G11" s="20" t="str">
        <x:v>「长距剑气」可储存[H05-1]次，各次充能独立恢复；单次基础冷却延长[H05-2]%。</x:v>
      </x:c>
    </x:row>
    <x:row r="12" ht="38" customHeight="1">
      <x:c r="A12" s="20" t="str">
        <x:v>风厉</x:v>
      </x:c>
      <x:c r="B12" s="20" t="str">
        <x:v>H05｜双重剑气</x:v>
      </x:c>
      <x:c r="C12" s="20" t="str">
        <x:v>[H05-2]</x:v>
      </x:c>
      <x:c r="D12" s="20" t="str">
        <x:v>基础冷却延长</x:v>
      </x:c>
      <x:c r="E12" s="20" t="str">
        <x:v>%</x:v>
      </x:c>
      <x:c r="F12" s="56" t="n">
        <x:v>30</x:v>
      </x:c>
      <x:c r="G12" s="20" t="str">
        <x:v>-1]次，各次充能独立恢复；单次基础冷却延长[H05-2]%。</x:v>
      </x:c>
    </x:row>
    <x:row r="13" ht="38" customHeight="1">
      <x:c r="A13" s="64" t="str">
        <x:v>风厉</x:v>
      </x:c>
      <x:c r="B13" s="64" t="str">
        <x:v>H06｜震锋</x:v>
      </x:c>
      <x:c r="C13" s="64" t="str">
        <x:v>[H06-1]</x:v>
      </x:c>
      <x:c r="D13" s="64" t="str">
        <x:v>额外眩晕</x:v>
      </x:c>
      <x:c r="E13" s="20" t="str">
        <x:v>秒</x:v>
      </x:c>
      <x:c r="F13" s="58" t="n">
        <x:v>0.5</x:v>
      </x:c>
      <x:c r="G13" s="20" t="str">
        <x:v>「长距剑气」命中敌人时额外眩晕[H06-1]秒。</x:v>
      </x:c>
    </x:row>
    <x:row r="14" ht="38" customHeight="1">
      <x:c r="A14" s="64" t="str">
        <x:v>风厉</x:v>
      </x:c>
      <x:c r="B14" s="64" t="str">
        <x:v>H07｜血猎印记</x:v>
      </x:c>
      <x:c r="C14" s="64" t="str">
        <x:v>[H07-1]</x:v>
      </x:c>
      <x:c r="D14" s="64" t="str">
        <x:v>标记延长</x:v>
      </x:c>
      <x:c r="E14" s="20" t="str">
        <x:v>秒</x:v>
      </x:c>
      <x:c r="F14" s="56" t="n">
        <x:v>3</x:v>
      </x:c>
      <x:c r="G14" s="20" t="str">
        <x:v>「匕首标记·二段穿刺」的标记持续时间延长[H07-1]秒；风厉对标记目标造成的最终伤害提高[H07-2]%。</x:v>
      </x:c>
    </x:row>
    <x:row r="15" ht="38" customHeight="1">
      <x:c r="A15" s="20" t="str">
        <x:v>风厉</x:v>
      </x:c>
      <x:c r="B15" s="20" t="str">
        <x:v>H07｜血猎印记</x:v>
      </x:c>
      <x:c r="C15" s="20" t="str">
        <x:v>[H07-2]</x:v>
      </x:c>
      <x:c r="D15" s="20" t="str">
        <x:v>标记目标最终增伤</x:v>
      </x:c>
      <x:c r="E15" s="20" t="str">
        <x:v>%</x:v>
      </x:c>
      <x:c r="F15" s="56" t="n">
        <x:v>30</x:v>
      </x:c>
      <x:c r="G15" s="20" t="str">
        <x:v>7-1]秒；风厉对标记目标造成的最终伤害提高[H07-2]%。</x:v>
      </x:c>
    </x:row>
    <x:row r="16" ht="38" customHeight="1">
      <x:c r="A16" s="64" t="str">
        <x:v>风厉</x:v>
      </x:c>
      <x:c r="B16" s="64" t="str">
        <x:v>H08｜定命</x:v>
      </x:c>
      <x:c r="C16" s="64" t="str">
        <x:v>[H08-1]</x:v>
      </x:c>
      <x:c r="D16" s="64" t="str">
        <x:v>每段眩晕</x:v>
      </x:c>
      <x:c r="E16" s="20" t="str">
        <x:v>秒</x:v>
      </x:c>
      <x:c r="F16" s="56" t="n">
        <x:v>1</x:v>
      </x:c>
      <x:c r="G16" s="20" t="str">
        <x:v>及二段穿刺命中被标记目标时，分别使该目标眩晕[H08-1]秒。</x:v>
      </x:c>
    </x:row>
    <x:row r="17" ht="38" customHeight="1">
      <x:c r="A17" s="64" t="str">
        <x:v>风厉</x:v>
      </x:c>
      <x:c r="B17" s="64" t="str">
        <x:v>H09｜穿影余势</x:v>
      </x:c>
      <x:c r="C17" s="64" t="str">
        <x:v>[H09-1]</x:v>
      </x:c>
      <x:c r="D17" s="64" t="str">
        <x:v>穿刺后攻速</x:v>
      </x:c>
      <x:c r="E17" s="20" t="str">
        <x:v>%</x:v>
      </x:c>
      <x:c r="F17" s="56" t="n">
        <x:v>25</x:v>
      </x:c>
      <x:c r="G17" s="20" t="str">
        <x:v>「匕首标记·二段穿刺」二段结束后，获得[H09-1]%攻击速度，持续[H09-2]秒。</x:v>
      </x:c>
    </x:row>
    <x:row r="18" ht="38" customHeight="1">
      <x:c r="A18" s="20" t="str">
        <x:v>风厉</x:v>
      </x:c>
      <x:c r="B18" s="20" t="str">
        <x:v>H09｜穿影余势</x:v>
      </x:c>
      <x:c r="C18" s="20" t="str">
        <x:v>[H09-2]</x:v>
      </x:c>
      <x:c r="D18" s="20" t="str">
        <x:v>攻速持续</x:v>
      </x:c>
      <x:c r="E18" s="20" t="str">
        <x:v>秒</x:v>
      </x:c>
      <x:c r="F18" s="56" t="n">
        <x:v>3</x:v>
      </x:c>
      <x:c r="G18" s="20" t="str">
        <x:v>段结束后，获得[H09-1]%攻击速度，持续[H09-2]秒。</x:v>
      </x:c>
    </x:row>
    <x:row r="19" ht="38" customHeight="1">
      <x:c r="A19" s="64" t="str">
        <x:v>风厉</x:v>
      </x:c>
      <x:c r="B19" s="64" t="str">
        <x:v>H10｜留影</x:v>
      </x:c>
      <x:c r="C19" s="64" t="str">
        <x:v>[H10-1]</x:v>
      </x:c>
      <x:c r="D19" s="64" t="str">
        <x:v>虚影持续</x:v>
      </x:c>
      <x:c r="E19" s="20" t="str">
        <x:v>秒</x:v>
      </x:c>
      <x:c r="F19" s="56" t="n">
        <x:v>3</x:v>
      </x:c>
      <x:c r="G19" s="20" t="str">
        <x:v>「旋斩瞬移」在瞬移前的位置留下持续[H10-1]秒的不可选中虚影；期间再次释放可返回虚影位置并消除虚影。本技能基</x:v>
      </x:c>
    </x:row>
    <x:row r="20" ht="38" customHeight="1">
      <x:c r="A20" s="20" t="str">
        <x:v>风厉</x:v>
      </x:c>
      <x:c r="B20" s="20" t="str">
        <x:v>H10｜留影</x:v>
      </x:c>
      <x:c r="C20" s="20" t="str">
        <x:v>[H10-2]</x:v>
      </x:c>
      <x:c r="D20" s="20" t="str">
        <x:v>基础冷却延长</x:v>
      </x:c>
      <x:c r="E20" s="20" t="str">
        <x:v>%</x:v>
      </x:c>
      <x:c r="F20" s="56" t="n">
        <x:v>50</x:v>
      </x:c>
      <x:c r="G20" s="20" t="str">
        <x:v>可返回虚影位置并消除虚影。本技能基础冷却延长[H10-2]%。</x:v>
      </x:c>
    </x:row>
    <x:row r="21" ht="38" customHeight="1">
      <x:c r="A21" s="64" t="str">
        <x:v>风厉</x:v>
      </x:c>
      <x:c r="B21" s="64" t="str">
        <x:v>H11｜回风</x:v>
      </x:c>
      <x:c r="C21" s="64" t="str">
        <x:v>[H11-1]</x:v>
      </x:c>
      <x:c r="D21" s="64" t="str">
        <x:v>额外旋转圈数</x:v>
      </x:c>
      <x:c r="E21" s="20" t="str">
        <x:v>点</x:v>
      </x:c>
      <x:c r="F21" s="56" t="n">
        <x:v>1</x:v>
      </x:c>
      <x:c r="G21" s="20" t="str">
        <x:v>「旋斩瞬移」完成瞬移后额外旋转[H11-1]圈，每圈造成[H11-2]+[H11-3]%AD普通伤害；额外旋</x:v>
      </x:c>
    </x:row>
    <x:row r="22" ht="38" customHeight="1">
      <x:c r="A22" s="20" t="str">
        <x:v>风厉</x:v>
      </x:c>
      <x:c r="B22" s="20" t="str">
        <x:v>H11｜回风</x:v>
      </x:c>
      <x:c r="C22" s="20" t="str">
        <x:v>[H11-2]</x:v>
      </x:c>
      <x:c r="D22" s="20" t="str">
        <x:v>每圈固定伤害</x:v>
      </x:c>
      <x:c r="E22" s="20" t="str">
        <x:v>点</x:v>
      </x:c>
      <x:c r="F22" s="56" t="n">
        <x:v>70</x:v>
      </x:c>
      <x:c r="G22" s="20" t="str">
        <x:v>完成瞬移后额外旋转[H11-1]圈，每圈造成[H11-2]+[H11-3]%AD普通伤害；额外旋转半径[H11-4]米，总</x:v>
      </x:c>
    </x:row>
    <x:row r="23" ht="38" customHeight="1">
      <x:c r="A23" s="20" t="str">
        <x:v>风厉</x:v>
      </x:c>
      <x:c r="B23" s="20" t="str">
        <x:v>H11｜回风</x:v>
      </x:c>
      <x:c r="C23" s="20" t="str">
        <x:v>[H11-3]</x:v>
      </x:c>
      <x:c r="D23" s="20" t="str">
        <x:v>每圈AD系数</x:v>
      </x:c>
      <x:c r="E23" s="20" t="str">
        <x:v>%AD</x:v>
      </x:c>
      <x:c r="F23" s="56" t="n">
        <x:v>80</x:v>
      </x:c>
      <x:c r="G23" s="20" t="str">
        <x:v>转[H11-1]圈，每圈造成[H11-2]+[H11-3]%AD普通伤害；额外旋转半径[H11-4]米，总动作持续[H11</x:v>
      </x:c>
    </x:row>
    <x:row r="24" ht="38" customHeight="1">
      <x:c r="A24" s="20" t="str">
        <x:v>风厉</x:v>
      </x:c>
      <x:c r="B24" s="20" t="str">
        <x:v>H11｜回风</x:v>
      </x:c>
      <x:c r="C24" s="20" t="str">
        <x:v>[H11-4]</x:v>
      </x:c>
      <x:c r="D24" s="20" t="str">
        <x:v>额外旋转半径</x:v>
      </x:c>
      <x:c r="E24" s="20" t="str">
        <x:v>米</x:v>
      </x:c>
      <x:c r="F24" s="56" t="n">
        <x:v>3</x:v>
      </x:c>
      <x:c r="G24" s="20" t="str">
        <x:v>+[H11-3]%AD普通伤害；额外旋转半径[H11-4]米，总动作持续[H11-5]秒，期间可以移动。</x:v>
      </x:c>
    </x:row>
    <x:row r="25" ht="38" customHeight="1">
      <x:c r="A25" s="20" t="str">
        <x:v>风厉</x:v>
      </x:c>
      <x:c r="B25" s="20" t="str">
        <x:v>H11｜回风</x:v>
      </x:c>
      <x:c r="C25" s="20" t="str">
        <x:v>[H11-5]</x:v>
      </x:c>
      <x:c r="D25" s="20" t="str">
        <x:v>额外旋转动作持续</x:v>
      </x:c>
      <x:c r="E25" s="20" t="str">
        <x:v>秒</x:v>
      </x:c>
      <x:c r="F25" s="58" t="n">
        <x:v>0.35</x:v>
      </x:c>
      <x:c r="G25" s="20" t="str">
        <x:v>害；额外旋转半径[H11-4]米，总动作持续[H11-5]秒，期间可以移动。</x:v>
      </x:c>
    </x:row>
    <x:row r="26" ht="38" customHeight="1">
      <x:c r="A26" s="64" t="str">
        <x:v>风厉</x:v>
      </x:c>
      <x:c r="B26" s="64" t="str">
        <x:v>H12｜连旋</x:v>
      </x:c>
      <x:c r="C26" s="64" t="str">
        <x:v>[H12-1]</x:v>
      </x:c>
      <x:c r="D26" s="64" t="str">
        <x:v>初始旋转额外圈数</x:v>
      </x:c>
      <x:c r="E26" s="20" t="str">
        <x:v>点</x:v>
      </x:c>
      <x:c r="F26" s="56" t="n">
        <x:v>2</x:v>
      </x:c>
      <x:c r="G26" s="20" t="str">
        <x:v>「旋斩瞬移」的初始旋转增加[H12-1]圈，所有初始旋转共用原动作时长；每圈攻击力伤害系数减少[H12-</x:v>
      </x:c>
    </x:row>
    <x:row r="27" ht="38" customHeight="1">
      <x:c r="A27" s="20" t="str">
        <x:v>风厉</x:v>
      </x:c>
      <x:c r="B27" s="20" t="str">
        <x:v>H12｜连旋</x:v>
      </x:c>
      <x:c r="C27" s="20" t="str">
        <x:v>[H12-2]</x:v>
      </x:c>
      <x:c r="D27" s="20" t="str">
        <x:v>每圈AD系数降低</x:v>
      </x:c>
      <x:c r="E27" s="20" t="str">
        <x:v>个</x:v>
      </x:c>
      <x:c r="F27" s="56" t="n">
        <x:v>10</x:v>
      </x:c>
      <x:c r="G27" s="20" t="str">
        <x:v>系数降低10个百分点，例如65%AD降至55%AD；不是总伤害降低10%。</x:v>
      </x:c>
    </x:row>
    <x:row r="28" ht="38" customHeight="1">
      <x:c r="A28" s="64" t="str">
        <x:v>风厉</x:v>
      </x:c>
      <x:c r="B28" s="64" t="str">
        <x:v>H13｜不死超载</x:v>
      </x:c>
      <x:c r="C28" s="64" t="str">
        <x:v>[H13-1]</x:v>
      </x:c>
      <x:c r="D28" s="64" t="str">
        <x:v>每次超载免死次数</x:v>
      </x:c>
      <x:c r="E28" s="20" t="str">
        <x:v>次</x:v>
      </x:c>
      <x:c r="F28" s="56" t="n">
        <x:v>1</x:v>
      </x:c>
      <x:c r="G28" s="20" t="str">
        <x:v>到致命伤害时，免疫本次伤害。每次超载最多触发[H13-1]次。</x:v>
      </x:c>
    </x:row>
    <x:row r="29" ht="38" customHeight="1">
      <x:c r="A29" s="64" t="str">
        <x:v>风厉</x:v>
      </x:c>
      <x:c r="B29" s="64" t="str">
        <x:v>H14｜血战超载</x:v>
      </x:c>
      <x:c r="C29" s="64" t="str">
        <x:v>[H14-1]</x:v>
      </x:c>
      <x:c r="D29" s="64" t="str">
        <x:v>额外暴击率</x:v>
      </x:c>
      <x:c r="E29" s="20" t="str">
        <x:v>%</x:v>
      </x:c>
      <x:c r="F29" s="56" t="n">
        <x:v>30</x:v>
      </x:c>
      <x:c r="G29" s="20" t="str">
        <x:v>「超载」持续期间额外获得[H14-1]%暴击率与[H14-2]%吸血。</x:v>
      </x:c>
    </x:row>
    <x:row r="30" ht="38" customHeight="1">
      <x:c r="A30" s="20" t="str">
        <x:v>风厉</x:v>
      </x:c>
      <x:c r="B30" s="20" t="str">
        <x:v>H14｜血战超载</x:v>
      </x:c>
      <x:c r="C30" s="20" t="str">
        <x:v>[H14-2]</x:v>
      </x:c>
      <x:c r="D30" s="20" t="str">
        <x:v>额外吸血</x:v>
      </x:c>
      <x:c r="E30" s="20" t="str">
        <x:v>%</x:v>
      </x:c>
      <x:c r="F30" s="56" t="n">
        <x:v>5</x:v>
      </x:c>
      <x:c r="G30" s="20" t="str">
        <x:v>载」持续期间额外获得[H14-1]%暴击率与[H14-2]%吸血。</x:v>
      </x:c>
    </x:row>
    <x:row r="31" ht="38" customHeight="1">
      <x:c r="A31" s="64" t="str">
        <x:v>风厉</x:v>
      </x:c>
      <x:c r="B31" s="64" t="str">
        <x:v>H15｜追命不息</x:v>
      </x:c>
      <x:c r="C31" s="64" t="str">
        <x:v>[H15-1]</x:v>
      </x:c>
      <x:c r="D31" s="64" t="str">
        <x:v>每次普攻减少R冷却</x:v>
      </x:c>
      <x:c r="E31" s="20" t="str">
        <x:v>秒</x:v>
      </x:c>
      <x:c r="F31" s="58" t="n">
        <x:v>0.5</x:v>
      </x:c>
      <x:c r="G31" s="20" t="str">
        <x:v>星斩」冷却期间，每次普通攻击使其剩余冷却减少[H15-1]秒。</x:v>
      </x:c>
    </x:row>
    <x:row r="32" ht="38" customHeight="1">
      <x:c r="A32" s="64" t="str">
        <x:v>风厉</x:v>
      </x:c>
      <x:c r="B32" s="64" t="str">
        <x:v>H16｜归命</x:v>
      </x:c>
      <x:c r="C32" s="64" t="str">
        <x:v>[H16-1]</x:v>
      </x:c>
      <x:c r="D32" s="64" t="str">
        <x:v>最大生命恢复比例</x:v>
      </x:c>
      <x:c r="E32" s="20" t="str">
        <x:v>%</x:v>
      </x:c>
      <x:c r="F32" s="56" t="n">
        <x:v>35</x:v>
      </x:c>
      <x:c r="G32" s="20" t="str">
        <x:v>「乱星斩」释放结束后，恢复[H16-1]%最大生命值。</x:v>
      </x:c>
    </x:row>
    <x:row r="33" ht="38" customHeight="1">
      <x:c r="A33" s="64" t="str">
        <x:v>风厉</x:v>
      </x:c>
      <x:c r="B33" s="64" t="str">
        <x:v>H17｜真骨</x:v>
      </x:c>
      <x:c r="C33" s="64" t="str">
        <x:v>[H17-1]</x:v>
      </x:c>
      <x:c r="D33" s="64" t="str">
        <x:v>骨钉额外真实伤害比例</x:v>
      </x:c>
      <x:c r="E33" s="20" t="str">
        <x:v>%</x:v>
      </x:c>
      <x:c r="F33" s="56" t="n">
        <x:v>15</x:v>
      </x:c>
      <x:c r="G33" s="20" t="str">
        <x:v>「骨钉雨」的每根骨钉额外造成相当于原伤害[H17-1]%的真实伤害。</x:v>
      </x:c>
    </x:row>
    <x:row r="34" ht="38" customHeight="1">
      <x:c r="A34" s="64" t="str">
        <x:v>风厉</x:v>
      </x:c>
      <x:c r="B34" s="64" t="str">
        <x:v>H18｜第四投</x:v>
      </x:c>
      <x:c r="C34" s="64" t="str">
        <x:v>[H18-1]</x:v>
      </x:c>
      <x:c r="D34" s="64" t="str">
        <x:v>额外投掷轮数</x:v>
      </x:c>
      <x:c r="E34" s="20" t="str">
        <x:v>轮</x:v>
      </x:c>
      <x:c r="F34" s="56" t="n">
        <x:v>1</x:v>
      </x:c>
      <x:c r="G34" s="20" t="str">
        <x:v>「骨钉雨」的最大投出轮数增加[H18-1]轮。</x:v>
      </x:c>
    </x:row>
    <x:row r="35" ht="38" customHeight="1">
      <x:c r="A35" s="64" t="str">
        <x:v>风厉</x:v>
      </x:c>
      <x:c r="B35" s="64" t="str">
        <x:v>H19｜增钉</x:v>
      </x:c>
      <x:c r="C35" s="64" t="str">
        <x:v>[H19-1]</x:v>
      </x:c>
      <x:c r="D35" s="64" t="str">
        <x:v>每轮基础骨钉增加</x:v>
      </x:c>
      <x:c r="E35" s="20" t="str">
        <x:v>根</x:v>
      </x:c>
      <x:c r="F35" s="56" t="n">
        <x:v>1</x:v>
      </x:c>
      <x:c r="G35" s="20" t="str">
        <x:v>「骨钉雨」每轮投出的基础骨钉数量增加[H19-1]根。</x:v>
      </x:c>
    </x:row>
    <x:row r="36" ht="38" customHeight="1">
      <x:c r="A36" s="64" t="str">
        <x:v>晏归舟</x:v>
      </x:c>
      <x:c r="B36" s="64" t="str">
        <x:v>H01｜曲水</x:v>
      </x:c>
      <x:c r="C36" s="64" t="str">
        <x:v>[H01-1]</x:v>
      </x:c>
      <x:c r="D36" s="64" t="str">
        <x:v>最多拐角</x:v>
      </x:c>
      <x:c r="E36" s="20" t="str">
        <x:v>个</x:v>
      </x:c>
      <x:c r="F36" s="56" t="n">
        <x:v>2</x:v>
      </x:c>
      <x:c r="G36" s="20" t="str">
        <x:v>「飞流三千」的墨线允许最多[H01-1]个拐角，最大绘线长度提高[H01-2]%。</x:v>
      </x:c>
    </x:row>
    <x:row r="37" ht="38" customHeight="1">
      <x:c r="A37" s="20" t="str">
        <x:v>晏归舟</x:v>
      </x:c>
      <x:c r="B37" s="20" t="str">
        <x:v>H01｜曲水</x:v>
      </x:c>
      <x:c r="C37" s="20" t="str">
        <x:v>[H01-2]</x:v>
      </x:c>
      <x:c r="D37" s="20" t="str">
        <x:v>绘线长度提高</x:v>
      </x:c>
      <x:c r="E37" s="20" t="str">
        <x:v>%</x:v>
      </x:c>
      <x:c r="F37" s="56" t="n">
        <x:v>20</x:v>
      </x:c>
      <x:c r="G37" s="20" t="str">
        <x:v>许最多[H01-1]个拐角，最大绘线长度提高[H01-2]%。</x:v>
      </x:c>
    </x:row>
    <x:row r="38" ht="38" customHeight="1">
      <x:c r="A38" s="64" t="str">
        <x:v>晏归舟</x:v>
      </x:c>
      <x:c r="B38" s="64" t="str">
        <x:v>H02｜落潭</x:v>
      </x:c>
      <x:c r="C38" s="64" t="str">
        <x:v>[H02-1]</x:v>
      </x:c>
      <x:c r="D38" s="64" t="str">
        <x:v>漩涡半径</x:v>
      </x:c>
      <x:c r="E38" s="20" t="str">
        <x:v>米</x:v>
      </x:c>
      <x:c r="F38" s="58" t="n">
        <x:v>3.2</x:v>
      </x:c>
      <x:c r="G38" s="20" t="str">
        <x:v>「飞流三千」在终点生成半径[H02-1]米、持续[H02-2]秒的漩涡；其中可位移敌人以[H02-3]米</x:v>
      </x:c>
    </x:row>
    <x:row r="39" ht="38" customHeight="1">
      <x:c r="A39" s="20" t="str">
        <x:v>晏归舟</x:v>
      </x:c>
      <x:c r="B39" s="20" t="str">
        <x:v>H02｜落潭</x:v>
      </x:c>
      <x:c r="C39" s="20" t="str">
        <x:v>[H02-2]</x:v>
      </x:c>
      <x:c r="D39" s="20" t="str">
        <x:v>漩涡持续</x:v>
      </x:c>
      <x:c r="E39" s="20" t="str">
        <x:v>秒</x:v>
      </x:c>
      <x:c r="F39" s="58" t="n">
        <x:v>2.5</x:v>
      </x:c>
      <x:c r="G39" s="20" t="str">
        <x:v>流三千」在终点生成半径[H02-1]米、持续[H02-2]秒的漩涡；其中可位移敌人以[H02-3]米/秒向中心移动。</x:v>
      </x:c>
    </x:row>
    <x:row r="40" ht="38" customHeight="1">
      <x:c r="A40" s="20" t="str">
        <x:v>晏归舟</x:v>
      </x:c>
      <x:c r="B40" s="20" t="str">
        <x:v>H02｜落潭</x:v>
      </x:c>
      <x:c r="C40" s="20" t="str">
        <x:v>[H02-3]</x:v>
      </x:c>
      <x:c r="D40" s="20" t="str">
        <x:v>漩涡牵引速度</x:v>
      </x:c>
      <x:c r="E40" s="20" t="str">
        <x:v>米/秒</x:v>
      </x:c>
      <x:c r="F40" s="56" t="n">
        <x:v>3</x:v>
      </x:c>
      <x:c r="G40" s="20" t="str">
        <x:v>持续[H02-2]秒的漩涡；其中可位移敌人以[H02-3]米/秒向中心移动。</x:v>
      </x:c>
    </x:row>
    <x:row r="41" ht="38" customHeight="1">
      <x:c r="A41" s="64" t="str">
        <x:v>晏归舟</x:v>
      </x:c>
      <x:c r="B41" s="64" t="str">
        <x:v>H03｜河曲</x:v>
      </x:c>
      <x:c r="C41" s="64" t="str">
        <x:v>[H03-1]</x:v>
      </x:c>
      <x:c r="D41" s="64" t="str">
        <x:v>折点上限</x:v>
      </x:c>
      <x:c r="E41" s="20" t="str">
        <x:v>个</x:v>
      </x:c>
      <x:c r="F41" s="56" t="n">
        <x:v>2</x:v>
      </x:c>
      <x:c r="G41" s="20" t="str">
        <x:v>孤烟·长河落日」允许在孤烟与落日之间设置最多[H03-1]个折点，使长河成为折线。</x:v>
      </x:c>
    </x:row>
    <x:row r="42" ht="38" customHeight="1">
      <x:c r="A42" s="64" t="str">
        <x:v>晏归舟</x:v>
      </x:c>
      <x:c r="B42" s="64" t="str">
        <x:v>H04｜落日熔金</x:v>
      </x:c>
      <x:c r="C42" s="64" t="str">
        <x:v>[H04-1]</x:v>
      </x:c>
      <x:c r="D42" s="64" t="str">
        <x:v>落日伤害区持续</x:v>
      </x:c>
      <x:c r="E42" s="20" t="str">
        <x:v>秒</x:v>
      </x:c>
      <x:c r="F42" s="56" t="n">
        <x:v>4</x:v>
      </x:c>
      <x:c r="G42" s="20" t="str">
        <x:v>大漠孤烟·长河落日」的落日形成伤害区域，持续[H04-1]秒；半径从[H04-2]米线性收缩至[H04-3]米。每隔[H0</x:v>
      </x:c>
    </x:row>
    <x:row r="43" ht="38" customHeight="1">
      <x:c r="A43" s="20" t="str">
        <x:v>晏归舟</x:v>
      </x:c>
      <x:c r="B43" s="20" t="str">
        <x:v>H04｜落日熔金</x:v>
      </x:c>
      <x:c r="C43" s="20" t="str">
        <x:v>[H04-2]</x:v>
      </x:c>
      <x:c r="D43" s="20" t="str">
        <x:v>初始半径</x:v>
      </x:c>
      <x:c r="E43" s="20" t="str">
        <x:v>米</x:v>
      </x:c>
      <x:c r="F43" s="58" t="n">
        <x:v>3.5</x:v>
      </x:c>
      <x:c r="G43" s="20" t="str">
        <x:v>日形成伤害区域，持续[H04-1]秒；半径从[H04-2]米线性收缩至[H04-3]米。每隔[H04-4]秒对其中敌人造成</x:v>
      </x:c>
    </x:row>
    <x:row r="44" ht="38" customHeight="1">
      <x:c r="A44" s="20" t="str">
        <x:v>晏归舟</x:v>
      </x:c>
      <x:c r="B44" s="20" t="str">
        <x:v>H04｜落日熔金</x:v>
      </x:c>
      <x:c r="C44" s="20" t="str">
        <x:v>[H04-3]</x:v>
      </x:c>
      <x:c r="D44" s="20" t="str">
        <x:v>最终半径</x:v>
      </x:c>
      <x:c r="E44" s="20" t="str">
        <x:v>米</x:v>
      </x:c>
      <x:c r="F44" s="56" t="n">
        <x:v>1</x:v>
      </x:c>
      <x:c r="G44" s="20" t="str">
        <x:v>4-1]秒；半径从[H04-2]米线性收缩至[H04-3]米。每隔[H04-4]秒对其中敌人造成[H04-5]+[H04-</x:v>
      </x:c>
    </x:row>
    <x:row r="45" ht="38" customHeight="1">
      <x:c r="A45" s="20" t="str">
        <x:v>晏归舟</x:v>
      </x:c>
      <x:c r="B45" s="20" t="str">
        <x:v>H04｜落日熔金</x:v>
      </x:c>
      <x:c r="C45" s="20" t="str">
        <x:v>[H04-4]</x:v>
      </x:c>
      <x:c r="D45" s="20" t="str">
        <x:v>伤害间隔</x:v>
      </x:c>
      <x:c r="E45" s="20" t="str">
        <x:v>秒</x:v>
      </x:c>
      <x:c r="F45" s="58" t="n">
        <x:v>0.5</x:v>
      </x:c>
      <x:c r="G45" s="20" t="str">
        <x:v>04-2]米线性收缩至[H04-3]米。每隔[H04-4]秒对其中敌人造成[H04-5]+[H04-6]%AP普通伤害。</x:v>
      </x:c>
    </x:row>
    <x:row r="46" ht="38" customHeight="1">
      <x:c r="A46" s="20" t="str">
        <x:v>晏归舟</x:v>
      </x:c>
      <x:c r="B46" s="20" t="str">
        <x:v>H04｜落日熔金</x:v>
      </x:c>
      <x:c r="C46" s="20" t="str">
        <x:v>[H04-5]</x:v>
      </x:c>
      <x:c r="D46" s="20" t="str">
        <x:v>每跳固定伤害</x:v>
      </x:c>
      <x:c r="E46" s="20" t="str">
        <x:v>点</x:v>
      </x:c>
      <x:c r="F46" s="56" t="n">
        <x:v>20</x:v>
      </x:c>
      <x:c r="G46" s="20" t="str">
        <x:v>-3]米。每隔[H04-4]秒对其中敌人造成[H04-5]+[H04-6]%AP普通伤害。</x:v>
      </x:c>
    </x:row>
    <x:row r="47" ht="38" customHeight="1">
      <x:c r="A47" s="20" t="str">
        <x:v>晏归舟</x:v>
      </x:c>
      <x:c r="B47" s="20" t="str">
        <x:v>H04｜落日熔金</x:v>
      </x:c>
      <x:c r="C47" s="20" t="str">
        <x:v>[H04-6]</x:v>
      </x:c>
      <x:c r="D47" s="20" t="str">
        <x:v>每跳AP系数</x:v>
      </x:c>
      <x:c r="E47" s="20" t="str">
        <x:v>%AP</x:v>
      </x:c>
      <x:c r="F47" s="56" t="n">
        <x:v>18</x:v>
      </x:c>
      <x:c r="G47" s="20" t="str">
        <x:v>H04-4]秒对其中敌人造成[H04-5]+[H04-6]%AP普通伤害。</x:v>
      </x:c>
    </x:row>
    <x:row r="48" ht="38" customHeight="1">
      <x:c r="A48" s="64" t="str">
        <x:v>晏归舟</x:v>
      </x:c>
      <x:c r="B48" s="64" t="str">
        <x:v>H05｜重峦</x:v>
      </x:c>
      <x:c r="C48" s="64" t="str">
        <x:v>[H05-1]</x:v>
      </x:c>
      <x:c r="D48" s="64" t="str">
        <x:v>山体长度提高</x:v>
      </x:c>
      <x:c r="E48" s="20" t="str">
        <x:v>%</x:v>
      </x:c>
      <x:c r="F48" s="56" t="n">
        <x:v>50</x:v>
      </x:c>
      <x:c r="G48" s="20" t="str">
        <x:v>「溪山行旅」的山体长度提高[H05-1]%。</x:v>
      </x:c>
    </x:row>
    <x:row r="49" ht="38" customHeight="1">
      <x:c r="A49" s="64" t="str">
        <x:v>晏归舟</x:v>
      </x:c>
      <x:c r="B49" s="64" t="str">
        <x:v>H06｜山崩</x:v>
      </x:c>
      <x:c r="C49" s="64" t="str">
        <x:v>[H06-1]</x:v>
      </x:c>
      <x:c r="D49" s="64" t="str">
        <x:v>崩山眩晕</x:v>
      </x:c>
      <x:c r="E49" s="20" t="str">
        <x:v>秒</x:v>
      </x:c>
      <x:c r="F49" s="58" t="n">
        <x:v>0.8</x:v>
      </x:c>
      <x:c r="G49" s="20" t="str">
        <x:v>溪山行旅」坍塌的山体命中敌人时，额外使其眩晕[H06-1]秒。</x:v>
      </x:c>
    </x:row>
    <x:row r="50" ht="38" customHeight="1">
      <x:c r="A50" s="64" t="str">
        <x:v>晏归舟</x:v>
      </x:c>
      <x:c r="B50" s="64" t="str">
        <x:v>H07｜竹杖芒鞋</x:v>
      </x:c>
      <x:c r="C50" s="64" t="str">
        <x:v>—</x:v>
      </x:c>
      <x:c r="D50" s="64" t="str">
        <x:v>纯机制，无独立参数</x:v>
      </x:c>
      <x:c r="E50" s="20" t="str">
        <x:v>—</x:v>
      </x:c>
      <x:c r="F50" s="26"/>
      <x:c r="G50" s="20" t="str">
        <x:v>「一蓑烟雨」可在被控制时使用；进入烟雨时解除已有减速与控制。</x:v>
      </x:c>
    </x:row>
    <x:row r="51" ht="38" customHeight="1">
      <x:c r="A51" s="64" t="str">
        <x:v>晏归舟</x:v>
      </x:c>
      <x:c r="B51" s="64" t="str">
        <x:v>H08｜也无风雨</x:v>
      </x:c>
      <x:c r="C51" s="64" t="str">
        <x:v>[H08-1]</x:v>
      </x:c>
      <x:c r="D51" s="64" t="str">
        <x:v>进入烟雨无伤持续</x:v>
      </x:c>
      <x:c r="E51" s="20" t="str">
        <x:v>秒</x:v>
      </x:c>
      <x:c r="F51" s="56" t="n">
        <x:v>1</x:v>
      </x:c>
      <x:c r="G51" s="20" t="str">
        <x:v>进入「一蓑烟雨」后的[H08-1]秒内，不受到任何伤害。</x:v>
      </x:c>
    </x:row>
    <x:row r="52" ht="38" customHeight="1">
      <x:c r="A52" s="64" t="str">
        <x:v>晏归舟</x:v>
      </x:c>
      <x:c r="B52" s="64" t="str">
        <x:v>H09｜回帆</x:v>
      </x:c>
      <x:c r="C52" s="64" t="str">
        <x:v>[H09-1]</x:v>
      </x:c>
      <x:c r="D52" s="64" t="str">
        <x:v>回帆速度</x:v>
      </x:c>
      <x:c r="E52" s="20" t="str">
        <x:v>米/秒</x:v>
      </x:c>
      <x:c r="F52" s="56" t="n">
        <x:v>6</x:v>
      </x:c>
      <x:c r="G52" s="20" t="str">
        <x:v>「孤帆远影」登舟后小舟不消失，而是以[H09-1]米/秒沿原航线反向返回，对宽[H09-2]米路径内的敌人造成[H</x:v>
      </x:c>
    </x:row>
    <x:row r="53" ht="38" customHeight="1">
      <x:c r="A53" s="20" t="str">
        <x:v>晏归舟</x:v>
      </x:c>
      <x:c r="B53" s="20" t="str">
        <x:v>H09｜回帆</x:v>
      </x:c>
      <x:c r="C53" s="20" t="str">
        <x:v>[H09-2]</x:v>
      </x:c>
      <x:c r="D53" s="20" t="str">
        <x:v>回帆宽度</x:v>
      </x:c>
      <x:c r="E53" s="20" t="str">
        <x:v>米</x:v>
      </x:c>
      <x:c r="F53" s="58" t="n">
        <x:v>1.4</x:v>
      </x:c>
      <x:c r="G53" s="20" t="str">
        <x:v>以[H09-1]米/秒沿原航线反向返回，对宽[H09-2]米路径内的敌人造成[H09-3]+[H09-4]%AP普通伤害；</x:v>
      </x:c>
    </x:row>
    <x:row r="54" ht="38" customHeight="1">
      <x:c r="A54" s="20" t="str">
        <x:v>晏归舟</x:v>
      </x:c>
      <x:c r="B54" s="20" t="str">
        <x:v>H09｜回帆</x:v>
      </x:c>
      <x:c r="C54" s="20" t="str">
        <x:v>[H09-3]</x:v>
      </x:c>
      <x:c r="D54" s="20" t="str">
        <x:v>回帆固定伤害</x:v>
      </x:c>
      <x:c r="E54" s="20" t="str">
        <x:v>点</x:v>
      </x:c>
      <x:c r="F54" s="56" t="n">
        <x:v>60</x:v>
      </x:c>
      <x:c r="G54" s="20" t="str">
        <x:v>向返回，对宽[H09-2]米路径内的敌人造成[H09-3]+[H09-4]%AP普通伤害；同一敌人最多被回帆命中[H09-</x:v>
      </x:c>
    </x:row>
    <x:row r="55" ht="38" customHeight="1">
      <x:c r="A55" s="20" t="str">
        <x:v>晏归舟</x:v>
      </x:c>
      <x:c r="B55" s="20" t="str">
        <x:v>H09｜回帆</x:v>
      </x:c>
      <x:c r="C55" s="20" t="str">
        <x:v>[H09-4]</x:v>
      </x:c>
      <x:c r="D55" s="20" t="str">
        <x:v>回帆AP系数</x:v>
      </x:c>
      <x:c r="E55" s="20" t="str">
        <x:v>%AP</x:v>
      </x:c>
      <x:c r="F55" s="56" t="n">
        <x:v>60</x:v>
      </x:c>
      <x:c r="G55" s="20" t="str">
        <x:v>09-2]米路径内的敌人造成[H09-3]+[H09-4]%AP普通伤害；同一敌人最多被回帆命中[H09-5]次。</x:v>
      </x:c>
    </x:row>
    <x:row r="56" ht="38" customHeight="1">
      <x:c r="A56" s="20" t="str">
        <x:v>晏归舟</x:v>
      </x:c>
      <x:c r="B56" s="20" t="str">
        <x:v>H09｜回帆</x:v>
      </x:c>
      <x:c r="C56" s="20" t="str">
        <x:v>[H09-5]</x:v>
      </x:c>
      <x:c r="D56" s="20" t="str">
        <x:v>每敌回帆命中上限</x:v>
      </x:c>
      <x:c r="E56" s="20" t="str">
        <x:v>次</x:v>
      </x:c>
      <x:c r="F56" s="56" t="n">
        <x:v>1</x:v>
      </x:c>
      <x:c r="G56" s="20" t="str">
        <x:v>-4]%AP普通伤害；同一敌人最多被回帆命中[H09-5]次。</x:v>
      </x:c>
    </x:row>
    <x:row r="57" ht="38" customHeight="1">
      <x:c r="A57" s="64" t="str">
        <x:v>晏归舟</x:v>
      </x:c>
      <x:c r="B57" s="64" t="str">
        <x:v>H10｜不尽</x:v>
      </x:c>
      <x:c r="C57" s="64" t="str">
        <x:v>[H10-1]</x:v>
      </x:c>
      <x:c r="D57" s="64" t="str">
        <x:v>诱敌墨舟持续</x:v>
      </x:c>
      <x:c r="E57" s="20" t="str">
        <x:v>秒</x:v>
      </x:c>
      <x:c r="F57" s="56" t="n">
        <x:v>3</x:v>
      </x:c>
      <x:c r="G57" s="20" t="str">
        <x:v>远影」完整航行结束而未登舟时，在终点留下持续[H10-1]秒的诱敌墨舟，嘲讽半径[H10-2]米内可嘲讽敌人；未登舟终点爆</x:v>
      </x:c>
    </x:row>
    <x:row r="58" ht="38" customHeight="1">
      <x:c r="A58" s="20" t="str">
        <x:v>晏归舟</x:v>
      </x:c>
      <x:c r="B58" s="20" t="str">
        <x:v>H10｜不尽</x:v>
      </x:c>
      <x:c r="C58" s="20" t="str">
        <x:v>[H10-2]</x:v>
      </x:c>
      <x:c r="D58" s="20" t="str">
        <x:v>诱敌半径</x:v>
      </x:c>
      <x:c r="E58" s="20" t="str">
        <x:v>米</x:v>
      </x:c>
      <x:c r="F58" s="56" t="n">
        <x:v>5</x:v>
      </x:c>
      <x:c r="G58" s="20" t="str">
        <x:v>留下持续[H10-1]秒的诱敌墨舟，嘲讽半径[H10-2]米内可嘲讽敌人；未登舟终点爆发延后至诱敌墨舟消失时触发。</x:v>
      </x:c>
    </x:row>
    <x:row r="59" ht="38" customHeight="1">
      <x:c r="A59" s="64" t="str">
        <x:v>晏归舟</x:v>
      </x:c>
      <x:c r="B59" s="64" t="str">
        <x:v>H11｜自白</x:v>
      </x:c>
      <x:c r="C59" s="64" t="str">
        <x:v>—</x:v>
      </x:c>
      <x:c r="D59" s="64" t="str">
        <x:v>纯机制，无独立参数</x:v>
      </x:c>
      <x:c r="E59" s="20" t="str">
        <x:v>—</x:v>
      </x:c>
      <x:c r="F59" s="26"/>
      <x:c r="G59" s="20" t="str">
        <x:v>「咫尺千里」可交换晏归舟自身与友方英雄的位置。</x:v>
      </x:c>
    </x:row>
    <x:row r="60" ht="38" customHeight="1">
      <x:c r="A60" s="64" t="str">
        <x:v>晏归舟</x:v>
      </x:c>
      <x:c r="B60" s="64" t="str">
        <x:v>H12｜倒卷</x:v>
      </x:c>
      <x:c r="C60" s="64" t="str">
        <x:v>[H12-1]</x:v>
      </x:c>
      <x:c r="D60" s="64" t="str">
        <x:v>允许倒卷窗口</x:v>
      </x:c>
      <x:c r="E60" s="20" t="str">
        <x:v>秒</x:v>
      </x:c>
      <x:c r="F60" s="56" t="n">
        <x:v>2</x:v>
      </x:c>
      <x:c r="G60" s="20" t="str">
        <x:v>「咫尺千里」交换完成后的[H12-1]秒内，可以再次释放，使仍存活的原交换对象回到原区域。</x:v>
      </x:c>
    </x:row>
    <x:row r="61" ht="38" customHeight="1">
      <x:c r="A61" s="64" t="str">
        <x:v>晏归舟</x:v>
      </x:c>
      <x:c r="B61" s="64" t="str">
        <x:v>H13｜鸟飞绝</x:v>
      </x:c>
      <x:c r="C61" s="64" t="str">
        <x:v>[H13-1]</x:v>
      </x:c>
      <x:c r="D61" s="64" t="str">
        <x:v>普通怪冻结</x:v>
      </x:c>
      <x:c r="E61" s="20" t="str">
        <x:v>秒</x:v>
      </x:c>
      <x:c r="F61" s="58" t="n">
        <x:v>1.5</x:v>
      </x:c>
      <x:c r="G61" s="20" t="str">
        <x:v>「独钓寒江雪」领域生成时，冻结普通敌人[H13-1]秒、精英[H13-2]秒；Boss不被冻结。</x:v>
      </x:c>
    </x:row>
    <x:row r="62" ht="38" customHeight="1">
      <x:c r="A62" s="20" t="str">
        <x:v>晏归舟</x:v>
      </x:c>
      <x:c r="B62" s="20" t="str">
        <x:v>H13｜鸟飞绝</x:v>
      </x:c>
      <x:c r="C62" s="20" t="str">
        <x:v>[H13-2]</x:v>
      </x:c>
      <x:c r="D62" s="20" t="str">
        <x:v>精英冻结</x:v>
      </x:c>
      <x:c r="E62" s="20" t="str">
        <x:v>秒</x:v>
      </x:c>
      <x:c r="F62" s="58" t="n">
        <x:v>0.7</x:v>
      </x:c>
      <x:c r="G62" s="20" t="str">
        <x:v>域生成时，冻结普通敌人[H13-1]秒、精英[H13-2]秒；Boss不被冻结。</x:v>
      </x:c>
    </x:row>
    <x:row r="63" ht="38" customHeight="1">
      <x:c r="A63" s="64" t="str">
        <x:v>晏归舟</x:v>
      </x:c>
      <x:c r="B63" s="64" t="str">
        <x:v>H14｜人踪灭</x:v>
      </x:c>
      <x:c r="C63" s="64" t="str">
        <x:v>[H14-1]</x:v>
      </x:c>
      <x:c r="D63" s="64" t="str">
        <x:v>每敌最大生命恢复</x:v>
      </x:c>
      <x:c r="E63" s="20" t="str">
        <x:v>%</x:v>
      </x:c>
      <x:c r="F63" s="58" t="n">
        <x:v>1.5</x:v>
      </x:c>
      <x:c r="G63" s="20" t="str">
        <x:v>内敌人被击杀后化为雪迹，每名敌人为晏归舟恢复[H14-1]%最大生命值；单次大招最多恢复[H14-2]%最大生命值。</x:v>
      </x:c>
    </x:row>
    <x:row r="64" ht="38" customHeight="1">
      <x:c r="A64" s="20" t="str">
        <x:v>晏归舟</x:v>
      </x:c>
      <x:c r="B64" s="20" t="str">
        <x:v>H14｜人踪灭</x:v>
      </x:c>
      <x:c r="C64" s="20" t="str">
        <x:v>[H14-2]</x:v>
      </x:c>
      <x:c r="D64" s="20" t="str">
        <x:v>单次R恢复上限</x:v>
      </x:c>
      <x:c r="E64" s="20" t="str">
        <x:v>%</x:v>
      </x:c>
      <x:c r="F64" s="56" t="n">
        <x:v>25</x:v>
      </x:c>
      <x:c r="G64" s="20" t="str">
        <x:v>[H14-1]%最大生命值；单次大招最多恢复[H14-2]%最大生命值。</x:v>
      </x:c>
    </x:row>
    <x:row r="65" ht="38" customHeight="1">
      <x:c r="A65" s="64" t="str">
        <x:v>晏归舟</x:v>
      </x:c>
      <x:c r="B65" s="64" t="str">
        <x:v>H15｜万壑争流</x:v>
      </x:c>
      <x:c r="C65" s="64" t="str">
        <x:v>[H15-1]</x:v>
      </x:c>
      <x:c r="D65" s="64" t="str">
        <x:v>山峰间隔缩短</x:v>
      </x:c>
      <x:c r="E65" s="20" t="str">
        <x:v>%</x:v>
      </x:c>
      <x:c r="F65" s="56" t="n">
        <x:v>25</x:v>
      </x:c>
      <x:c r="G65" s="20" t="str">
        <x:v>「千里江山」的山峰出现间隔缩短[H15-1]%，山峰最终伤害提高[H15-2]%。</x:v>
      </x:c>
    </x:row>
    <x:row r="66" ht="38" customHeight="1">
      <x:c r="A66" s="20" t="str">
        <x:v>晏归舟</x:v>
      </x:c>
      <x:c r="B66" s="20" t="str">
        <x:v>H15｜万壑争流</x:v>
      </x:c>
      <x:c r="C66" s="20" t="str">
        <x:v>[H15-2]</x:v>
      </x:c>
      <x:c r="D66" s="20" t="str">
        <x:v>山峰最终伤害提高</x:v>
      </x:c>
      <x:c r="E66" s="20" t="str">
        <x:v>%</x:v>
      </x:c>
      <x:c r="F66" s="56" t="n">
        <x:v>30</x:v>
      </x:c>
      <x:c r="G66" s="20" t="str">
        <x:v>现间隔缩短[H15-1]%，山峰最终伤害提高[H15-2]%。</x:v>
      </x:c>
    </x:row>
    <x:row r="67" ht="38" customHeight="1">
      <x:c r="A67" s="64" t="str">
        <x:v>晏归舟</x:v>
      </x:c>
      <x:c r="B67" s="64" t="str">
        <x:v>H16｜收尽山河</x:v>
      </x:c>
      <x:c r="C67" s="64" t="str">
        <x:v>[H16-1]</x:v>
      </x:c>
      <x:c r="D67" s="64" t="str">
        <x:v>收卷牵引距离</x:v>
      </x:c>
      <x:c r="E67" s="20" t="str">
        <x:v>米</x:v>
      </x:c>
      <x:c r="F67" s="56" t="n">
        <x:v>4</x:v>
      </x:c>
      <x:c r="G67" s="20" t="str">
        <x:v>「千里江山」收卷前，将普通敌人向领域中心位移[H16-1]米，位移持续[H16-2]秒；最终收卷伤害提高[H16-3]%。</x:v>
      </x:c>
    </x:row>
    <x:row r="68" ht="38" customHeight="1">
      <x:c r="A68" s="20" t="str">
        <x:v>晏归舟</x:v>
      </x:c>
      <x:c r="B68" s="20" t="str">
        <x:v>H16｜收尽山河</x:v>
      </x:c>
      <x:c r="C68" s="20" t="str">
        <x:v>[H16-2]</x:v>
      </x:c>
      <x:c r="D68" s="20" t="str">
        <x:v>收卷牵引持续</x:v>
      </x:c>
      <x:c r="E68" s="20" t="str">
        <x:v>秒</x:v>
      </x:c>
      <x:c r="F68" s="58" t="n">
        <x:v>0.4</x:v>
      </x:c>
      <x:c r="G68" s="20" t="str">
        <x:v>敌人向领域中心位移[H16-1]米，位移持续[H16-2]秒；最终收卷伤害提高[H16-3]%。</x:v>
      </x:c>
    </x:row>
    <x:row r="69" ht="38" customHeight="1">
      <x:c r="A69" s="20" t="str">
        <x:v>晏归舟</x:v>
      </x:c>
      <x:c r="B69" s="20" t="str">
        <x:v>H16｜收尽山河</x:v>
      </x:c>
      <x:c r="C69" s="20" t="str">
        <x:v>[H16-3]</x:v>
      </x:c>
      <x:c r="D69" s="20" t="str">
        <x:v>最终收卷增伤</x:v>
      </x:c>
      <x:c r="E69" s="20" t="str">
        <x:v>%</x:v>
      </x:c>
      <x:c r="F69" s="56" t="n">
        <x:v>50</x:v>
      </x:c>
      <x:c r="G69" s="20" t="str">
        <x:v>，位移持续[H16-2]秒；最终收卷伤害提高[H16-3]%。</x:v>
      </x:c>
    </x:row>
    <x:row r="70" ht="38" customHeight="1">
      <x:c r="A70" s="64" t="str">
        <x:v>弧翎</x:v>
      </x:c>
      <x:c r="B70" s="64" t="str">
        <x:v>H01｜超距校准</x:v>
      </x:c>
      <x:c r="C70" s="64" t="str">
        <x:v>[H01-1]</x:v>
      </x:c>
      <x:c r="D70" s="64" t="str">
        <x:v>超远程距离阈值</x:v>
      </x:c>
      <x:c r="E70" s="20" t="str">
        <x:v>%</x:v>
      </x:c>
      <x:c r="F70" s="56" t="n">
        <x:v>70</x:v>
      </x:c>
      <x:c r="G70" s="20" t="str">
        <x:v>「贯星」命中距离不低于最大射程[H01-1]%的敌人时，该次伤害额外获得[H01-2]点穿甲。</x:v>
      </x:c>
    </x:row>
    <x:row r="71" ht="38" customHeight="1">
      <x:c r="A71" s="20" t="str">
        <x:v>弧翎</x:v>
      </x:c>
      <x:c r="B71" s="20" t="str">
        <x:v>H01｜超距校准</x:v>
      </x:c>
      <x:c r="C71" s="20" t="str">
        <x:v>[H01-2]</x:v>
      </x:c>
      <x:c r="D71" s="20" t="str">
        <x:v>额外穿甲</x:v>
      </x:c>
      <x:c r="E71" s="20" t="str">
        <x:v>点</x:v>
      </x:c>
      <x:c r="F71" s="56" t="n">
        <x:v>25</x:v>
      </x:c>
      <x:c r="G71" s="20" t="str">
        <x:v>程[H01-1]%的敌人时，该次伤害额外获得[H01-2]点穿甲。</x:v>
      </x:c>
    </x:row>
    <x:row r="72" ht="38" customHeight="1">
      <x:c r="A72" s="64" t="str">
        <x:v>弧翎</x:v>
      </x:c>
      <x:c r="B72" s="64" t="str">
        <x:v>H02｜穿星而过</x:v>
      </x:c>
      <x:c r="C72" s="64" t="str">
        <x:v>[H02-1]</x:v>
      </x:c>
      <x:c r="D72" s="64" t="str">
        <x:v>返冷却所需命中人数</x:v>
      </x:c>
      <x:c r="E72" s="20" t="str">
        <x:v>名</x:v>
      </x:c>
      <x:c r="F72" s="56" t="n">
        <x:v>4</x:v>
      </x:c>
      <x:c r="G72" s="20" t="str">
        <x:v>「贯星」一次贯穿至少[H02-1]名敌人时，返还该技能[H02-2]%当前冷却。</x:v>
      </x:c>
    </x:row>
    <x:row r="73" ht="38" customHeight="1">
      <x:c r="A73" s="20" t="str">
        <x:v>弧翎</x:v>
      </x:c>
      <x:c r="B73" s="20" t="str">
        <x:v>H02｜穿星而过</x:v>
      </x:c>
      <x:c r="C73" s="20" t="str">
        <x:v>[H02-2]</x:v>
      </x:c>
      <x:c r="D73" s="20" t="str">
        <x:v>当前冷却返还比例</x:v>
      </x:c>
      <x:c r="E73" s="20" t="str">
        <x:v>%</x:v>
      </x:c>
      <x:c r="F73" s="56" t="n">
        <x:v>40</x:v>
      </x:c>
      <x:c r="G73" s="20" t="str">
        <x:v>次贯穿至少[H02-1]名敌人时，返还该技能[H02-2]%当前冷却。</x:v>
      </x:c>
    </x:row>
    <x:row r="74" ht="38" customHeight="1">
      <x:c r="A74" s="64" t="str">
        <x:v>弧翎</x:v>
      </x:c>
      <x:c r="B74" s="64" t="str">
        <x:v>H03｜处决协议</x:v>
      </x:c>
      <x:c r="C74" s="64" t="str">
        <x:v>[H03-1]</x:v>
      </x:c>
      <x:c r="D74" s="64" t="str">
        <x:v>死亡爆炸半径</x:v>
      </x:c>
      <x:c r="E74" s="20" t="str">
        <x:v>米</x:v>
      </x:c>
      <x:c r="F74" s="58" t="n">
        <x:v>2.5</x:v>
      </x:c>
      <x:c r="G74" s="20" t="str">
        <x:v>蜂群锁定」的微弹击杀敌人时，在其位置产生半径[H03-1]米的爆炸，造成[H03-2]+[H03-3]%AD普通伤害。</x:v>
      </x:c>
    </x:row>
    <x:row r="75" ht="38" customHeight="1">
      <x:c r="A75" s="20" t="str">
        <x:v>弧翎</x:v>
      </x:c>
      <x:c r="B75" s="20" t="str">
        <x:v>H03｜处决协议</x:v>
      </x:c>
      <x:c r="C75" s="20" t="str">
        <x:v>[H03-2]</x:v>
      </x:c>
      <x:c r="D75" s="20" t="str">
        <x:v>爆炸固定伤害</x:v>
      </x:c>
      <x:c r="E75" s="20" t="str">
        <x:v>点</x:v>
      </x:c>
      <x:c r="F75" s="56" t="n">
        <x:v>35</x:v>
      </x:c>
      <x:c r="G75" s="20" t="str">
        <x:v>在其位置产生半径[H03-1]米的爆炸，造成[H03-2]+[H03-3]%AD普通伤害。</x:v>
      </x:c>
    </x:row>
    <x:row r="76" ht="38" customHeight="1">
      <x:c r="A76" s="20" t="str">
        <x:v>弧翎</x:v>
      </x:c>
      <x:c r="B76" s="20" t="str">
        <x:v>H03｜处决协议</x:v>
      </x:c>
      <x:c r="C76" s="20" t="str">
        <x:v>[H03-3]</x:v>
      </x:c>
      <x:c r="D76" s="20" t="str">
        <x:v>爆炸AD系数</x:v>
      </x:c>
      <x:c r="E76" s="20" t="str">
        <x:v>%AD</x:v>
      </x:c>
      <x:c r="F76" s="56" t="n">
        <x:v>35</x:v>
      </x:c>
      <x:c r="G76" s="20" t="str">
        <x:v>[H03-1]米的爆炸，造成[H03-2]+[H03-3]%AD普通伤害。</x:v>
      </x:c>
    </x:row>
    <x:row r="77" ht="38" customHeight="1">
      <x:c r="A77" s="64" t="str">
        <x:v>弧翎</x:v>
      </x:c>
      <x:c r="B77" s="64" t="str">
        <x:v>H04｜重复确认</x:v>
      </x:c>
      <x:c r="C77" s="64" t="str">
        <x:v>[H04-1]</x:v>
      </x:c>
      <x:c r="D77" s="64" t="str">
        <x:v>单目标微弹增伤</x:v>
      </x:c>
      <x:c r="E77" s="20" t="str">
        <x:v>%</x:v>
      </x:c>
      <x:c r="F77" s="56" t="n">
        <x:v>25</x:v>
      </x:c>
      <x:c r="G77" s="20" t="str">
        <x:v>定单个敌人时，全部微弹对该目标的最终伤害提高[H04-1]%。</x:v>
      </x:c>
    </x:row>
    <x:row r="78" ht="38" customHeight="1">
      <x:c r="A78" s="64" t="str">
        <x:v>弧翎</x:v>
      </x:c>
      <x:c r="B78" s="64" t="str">
        <x:v>H05｜回旋轨迹</x:v>
      </x:c>
      <x:c r="C78" s="64" t="str">
        <x:v>[H05-1]</x:v>
      </x:c>
      <x:c r="D78" s="64" t="str">
        <x:v>回程速度</x:v>
      </x:c>
      <x:c r="E78" s="20" t="str">
        <x:v>米/秒</x:v>
      </x:c>
      <x:c r="F78" s="56" t="n">
        <x:v>24</x:v>
      </x:c>
      <x:c r="G78" s="20" t="str">
        <x:v>「折光刃轮」最后一次反弹后，以[H05-1]米/秒飞向弧翎当前位置。回程造成原伤害的[H05-2]%，并可额</x:v>
      </x:c>
    </x:row>
    <x:row r="79" ht="38" customHeight="1">
      <x:c r="A79" s="20" t="str">
        <x:v>弧翎</x:v>
      </x:c>
      <x:c r="B79" s="20" t="str">
        <x:v>H05｜回旋轨迹</x:v>
      </x:c>
      <x:c r="C79" s="20" t="str">
        <x:v>[H05-2]</x:v>
      </x:c>
      <x:c r="D79" s="20" t="str">
        <x:v>回程伤害保留</x:v>
      </x:c>
      <x:c r="E79" s="20" t="str">
        <x:v>%</x:v>
      </x:c>
      <x:c r="F79" s="56" t="n">
        <x:v>50</x:v>
      </x:c>
      <x:c r="G79" s="20" t="str">
        <x:v>1]米/秒飞向弧翎当前位置。回程造成原伤害的[H05-2]%，并可额外命中已受击敌人[H05-3]次。</x:v>
      </x:c>
    </x:row>
    <x:row r="80" ht="38" customHeight="1">
      <x:c r="A80" s="20" t="str">
        <x:v>弧翎</x:v>
      </x:c>
      <x:c r="B80" s="20" t="str">
        <x:v>H05｜回旋轨迹</x:v>
      </x:c>
      <x:c r="C80" s="20" t="str">
        <x:v>[H05-3]</x:v>
      </x:c>
      <x:c r="D80" s="20" t="str">
        <x:v>回程额外命中次数</x:v>
      </x:c>
      <x:c r="E80" s="20" t="str">
        <x:v>次</x:v>
      </x:c>
      <x:c r="F80" s="56" t="n">
        <x:v>1</x:v>
      </x:c>
      <x:c r="G80" s="20" t="str">
        <x:v>害的[H05-2]%，并可额外命中已受击敌人[H05-3]次。</x:v>
      </x:c>
    </x:row>
    <x:row r="81" ht="38" customHeight="1">
      <x:c r="A81" s="64" t="str">
        <x:v>弧翎</x:v>
      </x:c>
      <x:c r="B81" s="64" t="str">
        <x:v>H06｜借壁加速</x:v>
      </x:c>
      <x:c r="C81" s="64" t="str">
        <x:v>[H06-1]</x:v>
      </x:c>
      <x:c r="D81" s="64" t="str">
        <x:v>每撞墙速度增幅</x:v>
      </x:c>
      <x:c r="E81" s="20" t="str">
        <x:v>%</x:v>
      </x:c>
      <x:c r="F81" s="56" t="n">
        <x:v>50</x:v>
      </x:c>
      <x:c r="G81" s="20" t="str">
        <x:v>「折光刃轮」每次撞墙后，飞行速度提高[H06-1]%，并使该技能剩余冷却减少[H06-2]秒。</x:v>
      </x:c>
    </x:row>
    <x:row r="82" ht="38" customHeight="1">
      <x:c r="A82" s="20" t="str">
        <x:v>弧翎</x:v>
      </x:c>
      <x:c r="B82" s="20" t="str">
        <x:v>H06｜借壁加速</x:v>
      </x:c>
      <x:c r="C82" s="20" t="str">
        <x:v>[H06-2]</x:v>
      </x:c>
      <x:c r="D82" s="20" t="str">
        <x:v>每撞墙冷却减少</x:v>
      </x:c>
      <x:c r="E82" s="20" t="str">
        <x:v>秒</x:v>
      </x:c>
      <x:c r="F82" s="58" t="n">
        <x:v>0.3</x:v>
      </x:c>
      <x:c r="G82" s="20" t="str">
        <x:v>提高[H06-1]%，并使该技能剩余冷却减少[H06-2]秒。</x:v>
      </x:c>
    </x:row>
    <x:row r="83" ht="38" customHeight="1">
      <x:c r="A83" s="64" t="str">
        <x:v>弧翎</x:v>
      </x:c>
      <x:c r="B83" s="64" t="str">
        <x:v>H07｜逆向猎杀</x:v>
      </x:c>
      <x:c r="C83" s="64" t="str">
        <x:v>[H07-1]</x:v>
      </x:c>
      <x:c r="D83" s="64" t="str">
        <x:v>全中减速比例</x:v>
      </x:c>
      <x:c r="E83" s="20" t="str">
        <x:v>%</x:v>
      </x:c>
      <x:c r="F83" s="56" t="n">
        <x:v>35</x:v>
      </x:c>
      <x:c r="G83" s="20" t="str">
        <x:v>「逆冲」的全部光针命中同一个敌人时，使其减速[H07-1]%，持续[H07-2]秒。</x:v>
      </x:c>
    </x:row>
    <x:row r="84" ht="38" customHeight="1">
      <x:c r="A84" s="20" t="str">
        <x:v>弧翎</x:v>
      </x:c>
      <x:c r="B84" s="20" t="str">
        <x:v>H07｜逆向猎杀</x:v>
      </x:c>
      <x:c r="C84" s="20" t="str">
        <x:v>[H07-2]</x:v>
      </x:c>
      <x:c r="D84" s="20" t="str">
        <x:v>减速持续</x:v>
      </x:c>
      <x:c r="E84" s="20" t="str">
        <x:v>秒</x:v>
      </x:c>
      <x:c r="F84" s="56" t="n">
        <x:v>2</x:v>
      </x:c>
      <x:c r="G84" s="20" t="str">
        <x:v>同一个敌人时，使其减速[H07-1]%，持续[H07-2]秒。</x:v>
      </x:c>
    </x:row>
    <x:row r="85" ht="38" customHeight="1">
      <x:c r="A85" s="64" t="str">
        <x:v>弧翎</x:v>
      </x:c>
      <x:c r="B85" s="64" t="str">
        <x:v>H08｜完美脱离</x:v>
      </x:c>
      <x:c r="C85" s="64" t="str">
        <x:v>[H08-1]</x:v>
      </x:c>
      <x:c r="D85" s="64" t="str">
        <x:v>成功闪避冷却返还</x:v>
      </x:c>
      <x:c r="E85" s="20" t="str">
        <x:v>%</x:v>
      </x:c>
      <x:c r="F85" s="56" t="n">
        <x:v>30</x:v>
      </x:c>
      <x:c r="G85" s="20" t="str">
        <x:v>中成功避开一次原本会命中的攻击时，返还该技能[H08-1]%当前冷却。</x:v>
      </x:c>
    </x:row>
    <x:row r="86" ht="38" customHeight="1">
      <x:c r="A86" s="64" t="str">
        <x:v>弧翎</x:v>
      </x:c>
      <x:c r="B86" s="64" t="str">
        <x:v>H09｜高压弹仓</x:v>
      </x:c>
      <x:c r="C86" s="64" t="str">
        <x:v>[H09-1]</x:v>
      </x:c>
      <x:c r="D86" s="64" t="str">
        <x:v>储存伤害额外提高</x:v>
      </x:c>
      <x:c r="E86" s="20" t="str">
        <x:v>%</x:v>
      </x:c>
      <x:c r="F86" s="56" t="n">
        <x:v>40</x:v>
      </x:c>
      <x:c r="G86" s="20" t="str">
        <x:v>「六翼悬膛」储存攻击的最终伤害额外提高[H09-1]%。</x:v>
      </x:c>
    </x:row>
    <x:row r="87" ht="38" customHeight="1">
      <x:c r="A87" s="64" t="str">
        <x:v>弧翎</x:v>
      </x:c>
      <x:c r="B87" s="64" t="str">
        <x:v>H10｜双装填</x:v>
      </x:c>
      <x:c r="C87" s="64" t="str">
        <x:v>[H10-1]</x:v>
      </x:c>
      <x:c r="D87" s="64" t="str">
        <x:v>储存到第几次归翼齐射</x:v>
      </x:c>
      <x:c r="E87" s="20" t="str">
        <x:v>次</x:v>
      </x:c>
      <x:c r="F87" s="56" t="n">
        <x:v>2</x:v>
      </x:c>
      <x:c r="G87" s="20" t="str">
        <x:v>「六翼悬膛」可持续储存至第[H10-1]次归翼齐射，储存上限提高至[H10-2]次普通攻击。</x:v>
      </x:c>
    </x:row>
    <x:row r="88" ht="38" customHeight="1">
      <x:c r="A88" s="20" t="str">
        <x:v>弧翎</x:v>
      </x:c>
      <x:c r="B88" s="20" t="str">
        <x:v>H10｜双装填</x:v>
      </x:c>
      <x:c r="C88" s="20" t="str">
        <x:v>[H10-2]</x:v>
      </x:c>
      <x:c r="D88" s="20" t="str">
        <x:v>最大储存普攻数</x:v>
      </x:c>
      <x:c r="E88" s="20" t="str">
        <x:v>次</x:v>
      </x:c>
      <x:c r="F88" s="56" t="n">
        <x:v>12</x:v>
      </x:c>
      <x:c r="G88" s="20" t="str">
        <x:v>至第[H10-1]次归翼齐射，储存上限提高至[H10-2]次普通攻击。</x:v>
      </x:c>
    </x:row>
    <x:row r="89" ht="38" customHeight="1">
      <x:c r="A89" s="64" t="str">
        <x:v>弧翎</x:v>
      </x:c>
      <x:c r="B89" s="64" t="str">
        <x:v>H11｜完美装甲</x:v>
      </x:c>
      <x:c r="C89" s="64" t="str">
        <x:v>—</x:v>
      </x:c>
      <x:c r="D89" s="64" t="str">
        <x:v>纯机制，无独立参数</x:v>
      </x:c>
      <x:c r="E89" s="20" t="str">
        <x:v>—</x:v>
      </x:c>
      <x:c r="F89" s="26"/>
      <x:c r="G89" s="20" t="str">
        <x:v>「六翼闭合」期间无法被控制。</x:v>
      </x:c>
    </x:row>
    <x:row r="90" ht="38" customHeight="1">
      <x:c r="A90" s="64" t="str">
        <x:v>弧翎</x:v>
      </x:c>
      <x:c r="B90" s="64" t="str">
        <x:v>H12｜充能装置</x:v>
      </x:c>
      <x:c r="C90" s="64" t="str">
        <x:v>[H12-1]</x:v>
      </x:c>
      <x:c r="D90" s="64" t="str">
        <x:v>每承受一次攻击其他技能冷却返还</x:v>
      </x:c>
      <x:c r="E90" s="20" t="str">
        <x:v>%</x:v>
      </x:c>
      <x:c r="F90" s="56" t="n">
        <x:v>1</x:v>
      </x:c>
      <x:c r="G90" s="20" t="str">
        <x:v>合」期间每次受到攻击，使其他技能当前冷却减少[H12-1]%。</x:v>
      </x:c>
    </x:row>
    <x:row r="91" ht="38" customHeight="1">
      <x:c r="A91" s="64" t="str">
        <x:v>弧翎</x:v>
      </x:c>
      <x:c r="B91" s="64" t="str">
        <x:v>H13｜猎杀蜂群</x:v>
      </x:c>
      <x:c r="C91" s="64" t="str">
        <x:v>[H13-1]</x:v>
      </x:c>
      <x:c r="D91" s="64" t="str">
        <x:v>自动转火半径</x:v>
      </x:c>
      <x:c r="E91" s="20" t="str">
        <x:v>米</x:v>
      </x:c>
      <x:c r="F91" s="56" t="n">
        <x:v>12</x:v>
      </x:c>
      <x:c r="G91" s="20" t="str">
        <x:v>」期间，当前目标死亡时尚未射出的翼炮自动转向[H13-1]米内的敌人；每次击杀延长本次状态[H13-2]秒，单次大招最多延</x:v>
      </x:c>
    </x:row>
    <x:row r="92" ht="38" customHeight="1">
      <x:c r="A92" s="20" t="str">
        <x:v>弧翎</x:v>
      </x:c>
      <x:c r="B92" s="20" t="str">
        <x:v>H13｜猎杀蜂群</x:v>
      </x:c>
      <x:c r="C92" s="20" t="str">
        <x:v>[H13-2]</x:v>
      </x:c>
      <x:c r="D92" s="20" t="str">
        <x:v>每次击杀延长</x:v>
      </x:c>
      <x:c r="E92" s="20" t="str">
        <x:v>秒</x:v>
      </x:c>
      <x:c r="F92" s="58" t="n">
        <x:v>0.35</x:v>
      </x:c>
      <x:c r="G92" s="20" t="str">
        <x:v>H13-1]米内的敌人；每次击杀延长本次状态[H13-2]秒，单次大招最多延长[H13-3]秒。</x:v>
      </x:c>
    </x:row>
    <x:row r="93" ht="38" customHeight="1">
      <x:c r="A93" s="20" t="str">
        <x:v>弧翎</x:v>
      </x:c>
      <x:c r="B93" s="20" t="str">
        <x:v>H13｜猎杀蜂群</x:v>
      </x:c>
      <x:c r="C93" s="20" t="str">
        <x:v>[H13-3]</x:v>
      </x:c>
      <x:c r="D93" s="20" t="str">
        <x:v>单次解封最多延长</x:v>
      </x:c>
      <x:c r="E93" s="20" t="str">
        <x:v>秒</x:v>
      </x:c>
      <x:c r="F93" s="56" t="n">
        <x:v>3</x:v>
      </x:c>
      <x:c r="G93" s="20" t="str">
        <x:v>长本次状态[H13-2]秒，单次大招最多延长[H13-3]秒。</x:v>
      </x:c>
    </x:row>
    <x:row r="94" ht="38" customHeight="1">
      <x:c r="A94" s="64" t="str">
        <x:v>弧翎</x:v>
      </x:c>
      <x:c r="B94" s="64" t="str">
        <x:v>H14｜终端过载</x:v>
      </x:c>
      <x:c r="C94" s="64" t="str">
        <x:v>[H14-1]</x:v>
      </x:c>
      <x:c r="D94" s="64" t="str">
        <x:v>终结光束道数</x:v>
      </x:c>
      <x:c r="E94" s="20" t="str">
        <x:v>点</x:v>
      </x:c>
      <x:c r="F94" s="56" t="n">
        <x:v>6</x:v>
      </x:c>
      <x:c r="G94" s="20" t="str">
        <x:v>「六翼解封」结束前的最后一次普通攻击改为[H14-1]道平行贯穿光束；判定长度[H14-2]米、总覆盖宽度[H14-3</x:v>
      </x:c>
    </x:row>
    <x:row r="95" ht="38" customHeight="1">
      <x:c r="A95" s="20" t="str">
        <x:v>弧翎</x:v>
      </x:c>
      <x:c r="B95" s="20" t="str">
        <x:v>H14｜终端过载</x:v>
      </x:c>
      <x:c r="C95" s="20" t="str">
        <x:v>[H14-2]</x:v>
      </x:c>
      <x:c r="D95" s="20" t="str">
        <x:v>终结光束长度</x:v>
      </x:c>
      <x:c r="E95" s="20" t="str">
        <x:v>米</x:v>
      </x:c>
      <x:c r="F95" s="56" t="n">
        <x:v>20</x:v>
      </x:c>
      <x:c r="G95" s="20" t="str">
        <x:v>击改为[H14-1]道平行贯穿光束；判定长度[H14-2]米、总覆盖宽度[H14-3]米，总计造成[H14-4]+[H14</x:v>
      </x:c>
    </x:row>
    <x:row r="96" ht="38" customHeight="1">
      <x:c r="A96" s="20" t="str">
        <x:v>弧翎</x:v>
      </x:c>
      <x:c r="B96" s="20" t="str">
        <x:v>H14｜终端过载</x:v>
      </x:c>
      <x:c r="C96" s="20" t="str">
        <x:v>[H14-3]</x:v>
      </x:c>
      <x:c r="D96" s="20" t="str">
        <x:v>终结总宽度</x:v>
      </x:c>
      <x:c r="E96" s="20" t="str">
        <x:v>米</x:v>
      </x:c>
      <x:c r="F96" s="56" t="n">
        <x:v>6</x:v>
      </x:c>
      <x:c r="G96" s="20" t="str">
        <x:v>穿光束；判定长度[H14-2]米、总覆盖宽度[H14-3]米，总计造成[H14-4]+[H14-5]%AD普通伤害。命中精</x:v>
      </x:c>
    </x:row>
    <x:row r="97" ht="38" customHeight="1">
      <x:c r="A97" s="20" t="str">
        <x:v>弧翎</x:v>
      </x:c>
      <x:c r="B97" s="20" t="str">
        <x:v>H14｜终端过载</x:v>
      </x:c>
      <x:c r="C97" s="20" t="str">
        <x:v>[H14-4]</x:v>
      </x:c>
      <x:c r="D97" s="20" t="str">
        <x:v>终结固定伤害</x:v>
      </x:c>
      <x:c r="E97" s="20" t="str">
        <x:v>点</x:v>
      </x:c>
      <x:c r="F97" s="56" t="n">
        <x:v>250</x:v>
      </x:c>
      <x:c r="G97" s="20" t="str">
        <x:v>2]米、总覆盖宽度[H14-3]米，总计造成[H14-4]+[H14-5]%AD普通伤害。命中精英或Boss时恢复[H14</x:v>
      </x:c>
    </x:row>
    <x:row r="98" ht="38" customHeight="1">
      <x:c r="A98" s="20" t="str">
        <x:v>弧翎</x:v>
      </x:c>
      <x:c r="B98" s="20" t="str">
        <x:v>H14｜终端过载</x:v>
      </x:c>
      <x:c r="C98" s="20" t="str">
        <x:v>[H14-5]</x:v>
      </x:c>
      <x:c r="D98" s="20" t="str">
        <x:v>终结AD系数</x:v>
      </x:c>
      <x:c r="E98" s="20" t="str">
        <x:v>%AD</x:v>
      </x:c>
      <x:c r="F98" s="56" t="n">
        <x:v>300</x:v>
      </x:c>
      <x:c r="G98" s="20" t="str">
        <x:v>度[H14-3]米，总计造成[H14-4]+[H14-5]%AD普通伤害。命中精英或Boss时恢复[H14-6]%最大生命</x:v>
      </x:c>
    </x:row>
    <x:row r="99" ht="38" customHeight="1">
      <x:c r="A99" s="20" t="str">
        <x:v>弧翎</x:v>
      </x:c>
      <x:c r="B99" s="20" t="str">
        <x:v>H14｜终端过载</x:v>
      </x:c>
      <x:c r="C99" s="20" t="str">
        <x:v>[H14-6]</x:v>
      </x:c>
      <x:c r="D99" s="20" t="str">
        <x:v>命中精英Boss回血比例</x:v>
      </x:c>
      <x:c r="E99" s="20" t="str">
        <x:v>%</x:v>
      </x:c>
      <x:c r="F99" s="56" t="n">
        <x:v>10</x:v>
      </x:c>
      <x:c r="G99" s="20" t="str">
        <x:v>5]%AD普通伤害。命中精英或Boss时恢复[H14-6]%最大生命值。</x:v>
      </x:c>
    </x:row>
    <x:row r="100" ht="38" customHeight="1">
      <x:c r="A100" s="64" t="str">
        <x:v>弧翎</x:v>
      </x:c>
      <x:c r="B100" s="64" t="str">
        <x:v>H15｜连续坠射</x:v>
      </x:c>
      <x:c r="C100" s="64" t="str">
        <x:v>[H15-1]</x:v>
      </x:c>
      <x:c r="D100" s="64" t="str">
        <x:v>连发有效窗口</x:v>
      </x:c>
      <x:c r="E100" s="20" t="str">
        <x:v>秒</x:v>
      </x:c>
      <x:c r="F100" s="56" t="n">
        <x:v>2</x:v>
      </x:c>
      <x:c r="G100" s="20" t="str">
        <x:v>·六翼坠射」每根天矛命中精英或Boss后，在[H15-1]秒内发射的下一根天矛取消前摇，最终伤害提高[H15-2]%；连续</x:v>
      </x:c>
    </x:row>
    <x:row r="101" ht="38" customHeight="1">
      <x:c r="A101" s="20" t="str">
        <x:v>弧翎</x:v>
      </x:c>
      <x:c r="B101" s="20" t="str">
        <x:v>H15｜连续坠射</x:v>
      </x:c>
      <x:c r="C101" s="20" t="str">
        <x:v>[H15-2]</x:v>
      </x:c>
      <x:c r="D101" s="20" t="str">
        <x:v>每次连续命中增伤</x:v>
      </x:c>
      <x:c r="E101" s="20" t="str">
        <x:v>%</x:v>
      </x:c>
      <x:c r="F101" s="56" t="n">
        <x:v>15</x:v>
      </x:c>
      <x:c r="G101" s="20" t="str">
        <x:v>]秒内发射的下一根天矛取消前摇，最终伤害提高[H15-2]%；连续满足条件可以叠加，叠加在本次大招结束时清除。</x:v>
      </x:c>
    </x:row>
    <x:row r="102" ht="38" customHeight="1">
      <x:c r="A102" s="64" t="str">
        <x:v>弧翎</x:v>
      </x:c>
      <x:c r="B102" s="64" t="str">
        <x:v>H16｜第六天罚</x:v>
      </x:c>
      <x:c r="C102" s="64" t="str">
        <x:v>[H16-1]</x:v>
      </x:c>
      <x:c r="D102" s="64" t="str">
        <x:v>终结炮宽度倍数</x:v>
      </x:c>
      <x:c r="E102" s="20" t="str">
        <x:v>倍</x:v>
      </x:c>
      <x:c r="F102" s="56" t="n">
        <x:v>2</x:v>
      </x:c>
      <x:c r="G102" s="20" t="str">
        <x:v>」的最后一发改为终结炮，判定宽度为普通天矛的[H16-1]倍，造成[H16-2]+[H16-3]%AD+目标已损失生命值[</x:v>
      </x:c>
    </x:row>
    <x:row r="103" ht="38" customHeight="1">
      <x:c r="A103" s="20" t="str">
        <x:v>弧翎</x:v>
      </x:c>
      <x:c r="B103" s="20" t="str">
        <x:v>H16｜第六天罚</x:v>
      </x:c>
      <x:c r="C103" s="20" t="str">
        <x:v>[H16-2]</x:v>
      </x:c>
      <x:c r="D103" s="20" t="str">
        <x:v>终结固定伤害</x:v>
      </x:c>
      <x:c r="E103" s="20" t="str">
        <x:v>点</x:v>
      </x:c>
      <x:c r="F103" s="56" t="n">
        <x:v>400</x:v>
      </x:c>
      <x:c r="G103" s="20" t="str">
        <x:v>，判定宽度为普通天矛的[H16-1]倍，造成[H16-2]+[H16-3]%AD+目标已损失生命值[H16-4]%的普通伤</x:v>
      </x:c>
    </x:row>
    <x:row r="104" ht="38" customHeight="1">
      <x:c r="A104" s="20" t="str">
        <x:v>弧翎</x:v>
      </x:c>
      <x:c r="B104" s="20" t="str">
        <x:v>H16｜第六天罚</x:v>
      </x:c>
      <x:c r="C104" s="20" t="str">
        <x:v>[H16-3]</x:v>
      </x:c>
      <x:c r="D104" s="20" t="str">
        <x:v>终结AD系数</x:v>
      </x:c>
      <x:c r="E104" s="20" t="str">
        <x:v>%AD</x:v>
      </x:c>
      <x:c r="F104" s="56" t="n">
        <x:v>360</x:v>
      </x:c>
      <x:c r="G104" s="20" t="str">
        <x:v>天矛的[H16-1]倍，造成[H16-2]+[H16-3]%AD+目标已损失生命值[H16-4]%的普通伤害。</x:v>
      </x:c>
    </x:row>
    <x:row r="105" ht="38" customHeight="1">
      <x:c r="A105" s="20" t="str">
        <x:v>弧翎</x:v>
      </x:c>
      <x:c r="B105" s="20" t="str">
        <x:v>H16｜第六天罚</x:v>
      </x:c>
      <x:c r="C105" s="20" t="str">
        <x:v>[H16-4]</x:v>
      </x:c>
      <x:c r="D105" s="20" t="str">
        <x:v>已损失生命伤害比例</x:v>
      </x:c>
      <x:c r="E105" s="20" t="str">
        <x:v>%</x:v>
      </x:c>
      <x:c r="F105" s="56" t="n">
        <x:v>10</x:v>
      </x:c>
      <x:c r="G105" s="20" t="str">
        <x:v>2]+[H16-3]%AD+目标已损失生命值[H16-4]%的普通伤害。</x:v>
      </x:c>
    </x:row>
    <x:row r="106" ht="38" customHeight="1">
      <x:c r="A106" s="64" t="str">
        <x:v>玄垒</x:v>
      </x:c>
      <x:c r="B106" s="64" t="str">
        <x:v>H01｜城门也能劈人</x:v>
      </x:c>
      <x:c r="C106" s="64" t="str">
        <x:v>[H01-1]</x:v>
      </x:c>
      <x:c r="D106" s="64" t="str">
        <x:v>中心夹角改为</x:v>
      </x:c>
      <x:c r="E106" s="20" t="str">
        <x:v>度</x:v>
      </x:c>
      <x:c r="F106" s="56" t="n">
        <x:v>20</x:v>
      </x:c>
      <x:c r="G106" s="20" t="str">
        <x:v>「摧城」中心判定夹角缩小为[H01-1]度，中心直接命中敌人时最终伤害提高[H01-2]%。</x:v>
      </x:c>
    </x:row>
    <x:row r="107" ht="38" customHeight="1">
      <x:c r="A107" s="20" t="str">
        <x:v>玄垒</x:v>
      </x:c>
      <x:c r="B107" s="20" t="str">
        <x:v>H01｜城门也能劈人</x:v>
      </x:c>
      <x:c r="C107" s="20" t="str">
        <x:v>[H01-2]</x:v>
      </x:c>
      <x:c r="D107" s="20" t="str">
        <x:v>中心增伤</x:v>
      </x:c>
      <x:c r="E107" s="20" t="str">
        <x:v>%</x:v>
      </x:c>
      <x:c r="F107" s="56" t="n">
        <x:v>50</x:v>
      </x:c>
      <x:c r="G107" s="20" t="str">
        <x:v>01-1]度，中心直接命中敌人时最终伤害提高[H01-2]%。</x:v>
      </x:c>
    </x:row>
    <x:row r="108" ht="38" customHeight="1">
      <x:c r="A108" s="64" t="str">
        <x:v>玄垒</x:v>
      </x:c>
      <x:c r="B108" s="64" t="str">
        <x:v>H02｜一门两响</x:v>
      </x:c>
      <x:c r="C108" s="64" t="str">
        <x:v>[H02-1]</x:v>
      </x:c>
      <x:c r="D108" s="64" t="str">
        <x:v>触发所需敌人数</x:v>
      </x:c>
      <x:c r="E108" s="20" t="str">
        <x:v>名</x:v>
      </x:c>
      <x:c r="F108" s="56" t="n">
        <x:v>3</x:v>
      </x:c>
      <x:c r="G108" s="20" t="str">
        <x:v>「摧城」一次命中至少[H02-1]名敌人时，[H02-2]秒后在同一区域产生余震，造成原技能[H0</x:v>
      </x:c>
    </x:row>
    <x:row r="109" ht="38" customHeight="1">
      <x:c r="A109" s="20" t="str">
        <x:v>玄垒</x:v>
      </x:c>
      <x:c r="B109" s="20" t="str">
        <x:v>H02｜一门两响</x:v>
      </x:c>
      <x:c r="C109" s="20" t="str">
        <x:v>[H02-2]</x:v>
      </x:c>
      <x:c r="D109" s="20" t="str">
        <x:v>余震延迟</x:v>
      </x:c>
      <x:c r="E109" s="20" t="str">
        <x:v>秒</x:v>
      </x:c>
      <x:c r="F109" s="58" t="n">
        <x:v>0.3</x:v>
      </x:c>
      <x:c r="G109" s="20" t="str">
        <x:v>「摧城」一次命中至少[H02-1]名敌人时，[H02-2]秒后在同一区域产生余震，造成原技能[H02-3]%的伤害。</x:v>
      </x:c>
    </x:row>
    <x:row r="110" ht="38" customHeight="1">
      <x:c r="A110" s="20" t="str">
        <x:v>玄垒</x:v>
      </x:c>
      <x:c r="B110" s="20" t="str">
        <x:v>H02｜一门两响</x:v>
      </x:c>
      <x:c r="C110" s="20" t="str">
        <x:v>[H02-3]</x:v>
      </x:c>
      <x:c r="D110" s="20" t="str">
        <x:v>余震伤害比例</x:v>
      </x:c>
      <x:c r="E110" s="20" t="str">
        <x:v>%</x:v>
      </x:c>
      <x:c r="F110" s="56" t="n">
        <x:v>40</x:v>
      </x:c>
      <x:c r="G110" s="20" t="str">
        <x:v>02-2]秒后在同一区域产生余震，造成原技能[H02-3]%的伤害。</x:v>
      </x:c>
    </x:row>
    <x:row r="111" ht="38" customHeight="1">
      <x:c r="A111" s="64" t="str">
        <x:v>玄垒</x:v>
      </x:c>
      <x:c r="B111" s="64" t="str">
        <x:v>H03｜锁链不收</x:v>
      </x:c>
      <x:c r="C111" s="64" t="str">
        <x:v>[H03-1]</x:v>
      </x:c>
      <x:c r="D111" s="64" t="str">
        <x:v>储能次数</x:v>
      </x:c>
      <x:c r="E111" s="20" t="str">
        <x:v>次</x:v>
      </x:c>
      <x:c r="F111" s="56" t="n">
        <x:v>2</x:v>
      </x:c>
      <x:c r="G111" s="20" t="str">
        <x:v>「锁城索」获得[H03-1]次储能，各次独立恢复；单次伤害降低[H03-2]%。</x:v>
      </x:c>
    </x:row>
    <x:row r="112" ht="38" customHeight="1">
      <x:c r="A112" s="20" t="str">
        <x:v>玄垒</x:v>
      </x:c>
      <x:c r="B112" s="20" t="str">
        <x:v>H03｜锁链不收</x:v>
      </x:c>
      <x:c r="C112" s="20" t="str">
        <x:v>[H03-2]</x:v>
      </x:c>
      <x:c r="D112" s="20" t="str">
        <x:v>单次伤害降低</x:v>
      </x:c>
      <x:c r="E112" s="20" t="str">
        <x:v>%</x:v>
      </x:c>
      <x:c r="F112" s="56" t="n">
        <x:v>20</x:v>
      </x:c>
      <x:c r="G112" s="20" t="str">
        <x:v>03-1]次储能，各次独立恢复；单次伤害降低[H03-2]%。</x:v>
      </x:c>
    </x:row>
    <x:row r="113" ht="38" customHeight="1">
      <x:c r="A113" s="64" t="str">
        <x:v>玄垒</x:v>
      </x:c>
      <x:c r="B113" s="64" t="str">
        <x:v>H04｜你也配站那么远</x:v>
      </x:c>
      <x:c r="C113" s="64" t="str">
        <x:v>[H04-1]</x:v>
      </x:c>
      <x:c r="D113" s="64" t="str">
        <x:v>群拉半径提高</x:v>
      </x:c>
      <x:c r="E113" s="20" t="str">
        <x:v>%</x:v>
      </x:c>
      <x:c r="F113" s="56" t="n">
        <x:v>30</x:v>
      </x:c>
      <x:c r="G113" s="20" t="str">
        <x:v>「锁城索」作用半径提高[H04-1]%。</x:v>
      </x:c>
    </x:row>
    <x:row r="114" ht="38" customHeight="1">
      <x:c r="A114" s="64" t="str">
        <x:v>玄垒</x:v>
      </x:c>
      <x:c r="B114" s="64" t="str">
        <x:v>H05｜撞人也是武器</x:v>
      </x:c>
      <x:c r="C114" s="64" t="str">
        <x:v>[H05-1]</x:v>
      </x:c>
      <x:c r="D114" s="64" t="str">
        <x:v>每被推动敌人最大碰撞次数</x:v>
      </x:c>
      <x:c r="E114" s="20" t="str">
        <x:v>次</x:v>
      </x:c>
      <x:c r="F114" s="56" t="n">
        <x:v>3</x:v>
      </x:c>
      <x:c r="G114" s="20" t="str">
        <x:v>可以连续撞击其他目标，单个被推动敌人最多触发[H05-1]次碰撞；后续每次碰撞的伤害与控制时间相对前次降低[H05-2]%</x:v>
      </x:c>
    </x:row>
    <x:row r="115" ht="38" customHeight="1">
      <x:c r="A115" s="20" t="str">
        <x:v>玄垒</x:v>
      </x:c>
      <x:c r="B115" s="20" t="str">
        <x:v>H05｜撞人也是武器</x:v>
      </x:c>
      <x:c r="C115" s="20" t="str">
        <x:v>[H05-2]</x:v>
      </x:c>
      <x:c r="D115" s="20" t="str">
        <x:v>后续伤害控制递减</x:v>
      </x:c>
      <x:c r="E115" s="20" t="str">
        <x:v>%</x:v>
      </x:c>
      <x:c r="F115" s="56" t="n">
        <x:v>25</x:v>
      </x:c>
      <x:c r="G115" s="20" t="str">
        <x:v>撞；后续每次碰撞的伤害与控制时间相对前次降低[H05-2]%。</x:v>
      </x:c>
    </x:row>
    <x:row r="116" ht="38" customHeight="1">
      <x:c r="A116" s="64" t="str">
        <x:v>玄垒</x:v>
      </x:c>
      <x:c r="B116" s="64" t="str">
        <x:v>H06｜别挤</x:v>
      </x:c>
      <x:c r="C116" s="64" t="str">
        <x:v>[H06-1]</x:v>
      </x:c>
      <x:c r="D116" s="64" t="str">
        <x:v>同时推出敌人数阈值</x:v>
      </x:c>
      <x:c r="E116" s="20" t="str">
        <x:v>名</x:v>
      </x:c>
      <x:c r="F116" s="56" t="n">
        <x:v>4</x:v>
      </x:c>
      <x:c r="G116" s="20" t="str">
        <x:v>「横关」同时推出至少[H06-1]名敌人时，返还该技能[H06-2]%冷却。</x:v>
      </x:c>
    </x:row>
    <x:row r="117" ht="38" customHeight="1">
      <x:c r="A117" s="20" t="str">
        <x:v>玄垒</x:v>
      </x:c>
      <x:c r="B117" s="20" t="str">
        <x:v>H06｜别挤</x:v>
      </x:c>
      <x:c r="C117" s="20" t="str">
        <x:v>[H06-2]</x:v>
      </x:c>
      <x:c r="D117" s="20" t="str">
        <x:v>冷却返还比例</x:v>
      </x:c>
      <x:c r="E117" s="20" t="str">
        <x:v>%</x:v>
      </x:c>
      <x:c r="F117" s="56" t="n">
        <x:v>40</x:v>
      </x:c>
      <x:c r="G117" s="20" t="str">
        <x:v>时推出至少[H06-1]名敌人时，返还该技能[H06-2]%冷却。</x:v>
      </x:c>
    </x:row>
    <x:row r="118" ht="38" customHeight="1">
      <x:c r="A118" s="64" t="str">
        <x:v>玄垒</x:v>
      </x:c>
      <x:c r="B118" s="64" t="str">
        <x:v>H07｜开门迎客</x:v>
      </x:c>
      <x:c r="C118" s="64" t="str">
        <x:v>[H07-1]</x:v>
      </x:c>
      <x:c r="D118" s="64" t="str">
        <x:v>反击前进距离</x:v>
      </x:c>
      <x:c r="E118" s="20" t="str">
        <x:v>米</x:v>
      </x:c>
      <x:c r="F118" s="58" t="n">
        <x:v>2.5</x:v>
      </x:c>
      <x:c r="G118" s="20" t="str">
        <x:v>「镇门」反击时，玄垒随城门向前移动[H07-1]米，持续[H07-2]秒，并使敌人的击退距离增加[H07-3]米</x:v>
      </x:c>
    </x:row>
    <x:row r="119" ht="38" customHeight="1">
      <x:c r="A119" s="20" t="str">
        <x:v>玄垒</x:v>
      </x:c>
      <x:c r="B119" s="20" t="str">
        <x:v>H07｜开门迎客</x:v>
      </x:c>
      <x:c r="C119" s="20" t="str">
        <x:v>[H07-2]</x:v>
      </x:c>
      <x:c r="D119" s="20" t="str">
        <x:v>前进时长</x:v>
      </x:c>
      <x:c r="E119" s="20" t="str">
        <x:v>秒</x:v>
      </x:c>
      <x:c r="F119" s="58" t="n">
        <x:v>0.2</x:v>
      </x:c>
      <x:c r="G119" s="20" t="str">
        <x:v>时，玄垒随城门向前移动[H07-1]米，持续[H07-2]秒，并使敌人的击退距离增加[H07-3]米。</x:v>
      </x:c>
    </x:row>
    <x:row r="120" ht="38" customHeight="1">
      <x:c r="A120" s="20" t="str">
        <x:v>玄垒</x:v>
      </x:c>
      <x:c r="B120" s="20" t="str">
        <x:v>H07｜开门迎客</x:v>
      </x:c>
      <x:c r="C120" s="20" t="str">
        <x:v>[H07-3]</x:v>
      </x:c>
      <x:c r="D120" s="20" t="str">
        <x:v>额外击退距离</x:v>
      </x:c>
      <x:c r="E120" s="20" t="str">
        <x:v>米</x:v>
      </x:c>
      <x:c r="F120" s="58" t="n">
        <x:v>1.5</x:v>
      </x:c>
      <x:c r="G120" s="20" t="str">
        <x:v>持续[H07-2]秒，并使敌人的击退距离增加[H07-3]米。</x:v>
      </x:c>
    </x:row>
    <x:row r="121" ht="38" customHeight="1">
      <x:c r="A121" s="64" t="str">
        <x:v>玄垒</x:v>
      </x:c>
      <x:c r="B121" s="64" t="str">
        <x:v>H08｜再来一下</x:v>
      </x:c>
      <x:c r="C121" s="64" t="str">
        <x:v>[H08-1]</x:v>
      </x:c>
      <x:c r="D121" s="64" t="str">
        <x:v>累计承伤阈值</x:v>
      </x:c>
      <x:c r="E121" s="20" t="str">
        <x:v>%</x:v>
      </x:c>
      <x:c r="F121" s="56" t="n">
        <x:v>12</x:v>
      </x:c>
      <x:c r="G121" s="20" t="str">
        <x:v>「镇门」防御期间累计受到相当于自身最大生命[H08-1]%的伤害后，反击伤害提高[H08-2]%、长度与宽度提高[H08</x:v>
      </x:c>
    </x:row>
    <x:row r="122" ht="38" customHeight="1">
      <x:c r="A122" s="20" t="str">
        <x:v>玄垒</x:v>
      </x:c>
      <x:c r="B122" s="20" t="str">
        <x:v>H08｜再来一下</x:v>
      </x:c>
      <x:c r="C122" s="20" t="str">
        <x:v>[H08-2]</x:v>
      </x:c>
      <x:c r="D122" s="20" t="str">
        <x:v>反击伤害提高</x:v>
      </x:c>
      <x:c r="E122" s="20" t="str">
        <x:v>%</x:v>
      </x:c>
      <x:c r="F122" s="56" t="n">
        <x:v>60</x:v>
      </x:c>
      <x:c r="G122" s="20" t="str">
        <x:v>大生命[H08-1]%的伤害后，反击伤害提高[H08-2]%、长度与宽度提高[H08-3]%，并额外眩晕普通敌人[H08-</x:v>
      </x:c>
    </x:row>
    <x:row r="123" ht="38" customHeight="1">
      <x:c r="A123" s="20" t="str">
        <x:v>玄垒</x:v>
      </x:c>
      <x:c r="B123" s="20" t="str">
        <x:v>H08｜再来一下</x:v>
      </x:c>
      <x:c r="C123" s="20" t="str">
        <x:v>[H08-3]</x:v>
      </x:c>
      <x:c r="D123" s="20" t="str">
        <x:v>反击长宽提高</x:v>
      </x:c>
      <x:c r="E123" s="20" t="str">
        <x:v>%</x:v>
      </x:c>
      <x:c r="F123" s="56" t="n">
        <x:v>35</x:v>
      </x:c>
      <x:c r="G123" s="20" t="str">
        <x:v>反击伤害提高[H08-2]%、长度与宽度提高[H08-3]%，并额外眩晕普通敌人[H08-4]秒。</x:v>
      </x:c>
    </x:row>
    <x:row r="124" ht="38" customHeight="1">
      <x:c r="A124" s="20" t="str">
        <x:v>玄垒</x:v>
      </x:c>
      <x:c r="B124" s="20" t="str">
        <x:v>H08｜再来一下</x:v>
      </x:c>
      <x:c r="C124" s="20" t="str">
        <x:v>[H08-4]</x:v>
      </x:c>
      <x:c r="D124" s="20" t="str">
        <x:v>额外眩晕</x:v>
      </x:c>
      <x:c r="E124" s="20" t="str">
        <x:v>秒</x:v>
      </x:c>
      <x:c r="F124" s="58" t="n">
        <x:v>0.8</x:v>
      </x:c>
      <x:c r="G124" s="20" t="str">
        <x:v>宽度提高[H08-3]%，并额外眩晕普通敌人[H08-4]秒。</x:v>
      </x:c>
    </x:row>
    <x:row r="125" ht="38" customHeight="1">
      <x:c r="A125" s="64" t="str">
        <x:v>玄垒</x:v>
      </x:c>
      <x:c r="B125" s="64" t="str">
        <x:v>H09｜不许刹车</x:v>
      </x:c>
      <x:c r="C125" s="64" t="str">
        <x:v>[H09-1]</x:v>
      </x:c>
      <x:c r="D125" s="64" t="str">
        <x:v>每敌延长冲锋比例</x:v>
      </x:c>
      <x:c r="E125" s="20" t="str">
        <x:v>%</x:v>
      </x:c>
      <x:c r="F125" s="56" t="n">
        <x:v>8</x:v>
      </x:c>
      <x:c r="G125" s="20" t="str">
        <x:v>冲垒」每多顶住一名普通敌人，本次冲锋距离延长[H09-1]%，最多延长[H09-2]%。</x:v>
      </x:c>
    </x:row>
    <x:row r="126" ht="38" customHeight="1">
      <x:c r="A126" s="20" t="str">
        <x:v>玄垒</x:v>
      </x:c>
      <x:c r="B126" s="20" t="str">
        <x:v>H09｜不许刹车</x:v>
      </x:c>
      <x:c r="C126" s="20" t="str">
        <x:v>[H09-2]</x:v>
      </x:c>
      <x:c r="D126" s="20" t="str">
        <x:v>冲锋延长上限</x:v>
      </x:c>
      <x:c r="E126" s="20" t="str">
        <x:v>%</x:v>
      </x:c>
      <x:c r="F126" s="56" t="n">
        <x:v>40</x:v>
      </x:c>
      <x:c r="G126" s="20" t="str">
        <x:v>，本次冲锋距离延长[H09-1]%，最多延长[H09-2]%。</x:v>
      </x:c>
    </x:row>
    <x:row r="127" ht="38" customHeight="1">
      <x:c r="A127" s="64" t="str">
        <x:v>玄垒</x:v>
      </x:c>
      <x:c r="B127" s="64" t="str">
        <x:v>H10｜借墙杀人</x:v>
      </x:c>
      <x:c r="C127" s="64" t="str">
        <x:v>[H10-1]</x:v>
      </x:c>
      <x:c r="D127" s="64" t="str">
        <x:v>墙撞震荡半径</x:v>
      </x:c>
      <x:c r="E127" s="20" t="str">
        <x:v>米</x:v>
      </x:c>
      <x:c r="F127" s="58" t="n">
        <x:v>3.5</x:v>
      </x:c>
      <x:c r="G127" s="20" t="str">
        <x:v>「冲垒」把敌人撞到竞技场边缘时，在碰撞点半径[H10-1]米内产生震荡，对其他敌人造成该次撞墙追加伤害的[H10-2]%。</x:v>
      </x:c>
    </x:row>
    <x:row r="128" ht="38" customHeight="1">
      <x:c r="A128" s="20" t="str">
        <x:v>玄垒</x:v>
      </x:c>
      <x:c r="B128" s="20" t="str">
        <x:v>H10｜借墙杀人</x:v>
      </x:c>
      <x:c r="C128" s="20" t="str">
        <x:v>[H10-2]</x:v>
      </x:c>
      <x:c r="D128" s="20" t="str">
        <x:v>传播伤害比例</x:v>
      </x:c>
      <x:c r="E128" s="20" t="str">
        <x:v>%</x:v>
      </x:c>
      <x:c r="F128" s="56" t="n">
        <x:v>50</x:v>
      </x:c>
      <x:c r="G128" s="20" t="str">
        <x:v>内产生震荡，对其他敌人造成该次撞墙追加伤害的[H10-2]%。</x:v>
      </x:c>
    </x:row>
    <x:row r="129" ht="38" customHeight="1">
      <x:c r="A129" s="64" t="str">
        <x:v>玄垒</x:v>
      </x:c>
      <x:c r="B129" s="64" t="str">
        <x:v>H11｜同袍</x:v>
      </x:c>
      <x:c r="C129" s="64" t="str">
        <x:v>[H11-1]</x:v>
      </x:c>
      <x:c r="D129" s="64" t="str">
        <x:v>免死保留生命</x:v>
      </x:c>
      <x:c r="E129" s="20" t="str">
        <x:v>点</x:v>
      </x:c>
      <x:c r="F129" s="56" t="n">
        <x:v>1</x:v>
      </x:c>
      <x:c r="G129" s="20" t="str">
        <x:v>合垒」范围内其他玩家首次受到致命伤害时，保留[H11-1]点生命；玄垒立即承受相当于该玩家最大生命值[H11-2]%的真实</x:v>
      </x:c>
    </x:row>
    <x:row r="130" ht="38" customHeight="1">
      <x:c r="A130" s="20" t="str">
        <x:v>玄垒</x:v>
      </x:c>
      <x:c r="B130" s="20" t="str">
        <x:v>H11｜同袍</x:v>
      </x:c>
      <x:c r="C130" s="20" t="str">
        <x:v>[H11-2]</x:v>
      </x:c>
      <x:c r="D130" s="20" t="str">
        <x:v>玄垒承担目标最大生命比例</x:v>
      </x:c>
      <x:c r="E130" s="20" t="str">
        <x:v>%</x:v>
      </x:c>
      <x:c r="F130" s="56" t="n">
        <x:v>15</x:v>
      </x:c>
      <x:c r="G130" s="20" t="str">
        <x:v>]点生命；玄垒立即承受相当于该玩家最大生命值[H11-2]%的真实伤害。每次防御阵最多触发[H11-3]次。</x:v>
      </x:c>
    </x:row>
    <x:row r="131" ht="38" customHeight="1">
      <x:c r="A131" s="20" t="str">
        <x:v>玄垒</x:v>
      </x:c>
      <x:c r="B131" s="20" t="str">
        <x:v>H11｜同袍</x:v>
      </x:c>
      <x:c r="C131" s="20" t="str">
        <x:v>[H11-3]</x:v>
      </x:c>
      <x:c r="D131" s="20" t="str">
        <x:v>每次防御阵触发上限</x:v>
      </x:c>
      <x:c r="E131" s="20" t="str">
        <x:v>次</x:v>
      </x:c>
      <x:c r="F131" s="56" t="n">
        <x:v>1</x:v>
      </x:c>
      <x:c r="G131" s="20" t="str">
        <x:v>H11-2]%的真实伤害。每次防御阵最多触发[H11-3]次。</x:v>
      </x:c>
    </x:row>
    <x:row r="132" ht="38" customHeight="1">
      <x:c r="A132" s="64" t="str">
        <x:v>玄垒</x:v>
      </x:c>
      <x:c r="B132" s="64" t="str">
        <x:v>H12｜此处就是城</x:v>
      </x:c>
      <x:c r="C132" s="64" t="str">
        <x:v>[H12-1]</x:v>
      </x:c>
      <x:c r="D132" s="64" t="str">
        <x:v>站定触发时间</x:v>
      </x:c>
      <x:c r="E132" s="20" t="str">
        <x:v>秒</x:v>
      </x:c>
      <x:c r="F132" s="56" t="n">
        <x:v>1</x:v>
      </x:c>
      <x:c r="G132" s="20" t="str">
        <x:v>「合垒」期间玄垒停止移动超过[H12-1]秒时，防御阵半径提高[H12-2]%，自身攻击速度提高[H12-</x:v>
      </x:c>
    </x:row>
    <x:row r="133" ht="38" customHeight="1">
      <x:c r="A133" s="20" t="str">
        <x:v>玄垒</x:v>
      </x:c>
      <x:c r="B133" s="20" t="str">
        <x:v>H12｜此处就是城</x:v>
      </x:c>
      <x:c r="C133" s="20" t="str">
        <x:v>[H12-2]</x:v>
      </x:c>
      <x:c r="D133" s="20" t="str">
        <x:v>防御阵半径增幅</x:v>
      </x:c>
      <x:c r="E133" s="20" t="str">
        <x:v>%</x:v>
      </x:c>
      <x:c r="F133" s="56" t="n">
        <x:v>50</x:v>
      </x:c>
      <x:c r="G133" s="20" t="str">
        <x:v>止移动超过[H12-1]秒时，防御阵半径提高[H12-2]%，自身攻击速度提高[H12-3]%；重新移动后取消额外效果。</x:v>
      </x:c>
    </x:row>
    <x:row r="134" ht="38" customHeight="1">
      <x:c r="A134" s="20" t="str">
        <x:v>玄垒</x:v>
      </x:c>
      <x:c r="B134" s="20" t="str">
        <x:v>H12｜此处就是城</x:v>
      </x:c>
      <x:c r="C134" s="20" t="str">
        <x:v>[H12-3]</x:v>
      </x:c>
      <x:c r="D134" s="20" t="str">
        <x:v>站定攻速增幅</x:v>
      </x:c>
      <x:c r="E134" s="20" t="str">
        <x:v>%</x:v>
      </x:c>
      <x:c r="F134" s="56" t="n">
        <x:v>25</x:v>
      </x:c>
      <x:c r="G134" s="20" t="str">
        <x:v>阵半径提高[H12-2]%，自身攻击速度提高[H12-3]%；重新移动后取消额外效果。</x:v>
      </x:c>
    </x:row>
    <x:row r="135" ht="38" customHeight="1">
      <x:c r="A135" s="64" t="str">
        <x:v>玄垒</x:v>
      </x:c>
      <x:c r="B135" s="64" t="str">
        <x:v>H13｜众矢之的</x:v>
      </x:c>
      <x:c r="C135" s="64" t="str">
        <x:v>[H13-1]</x:v>
      </x:c>
      <x:c r="D135" s="64" t="str">
        <x:v>城压记录增加百分点</x:v>
      </x:c>
      <x:c r="E135" s="20" t="str">
        <x:v>个</x:v>
      </x:c>
      <x:c r="F135" s="56" t="n">
        <x:v>25</x:v>
      </x:c>
      <x:c r="G135" s="20" t="str">
        <x:v>「背城」的城压记录比例提高[H13-1]个百分点，但结束后的护盾转化效率降低[H13-2]%。</x:v>
      </x:c>
    </x:row>
    <x:row r="136" ht="38" customHeight="1">
      <x:c r="A136" s="20" t="str">
        <x:v>玄垒</x:v>
      </x:c>
      <x:c r="B136" s="20" t="str">
        <x:v>H13｜众矢之的</x:v>
      </x:c>
      <x:c r="C136" s="20" t="str">
        <x:v>[H13-2]</x:v>
      </x:c>
      <x:c r="D136" s="20" t="str">
        <x:v>护盾效率降低</x:v>
      </x:c>
      <x:c r="E136" s="20" t="str">
        <x:v>%</x:v>
      </x:c>
      <x:c r="F136" s="56" t="n">
        <x:v>40</x:v>
      </x:c>
      <x:c r="G136" s="20" t="str">
        <x:v>3-1]个百分点，但结束后的护盾转化效率降低[H13-2]%。</x:v>
      </x:c>
    </x:row>
    <x:row r="137" ht="38" customHeight="1">
      <x:c r="A137" s="64" t="str">
        <x:v>玄垒</x:v>
      </x:c>
      <x:c r="B137" s="64" t="str">
        <x:v>H14｜城不破</x:v>
      </x:c>
      <x:c r="C137" s="64" t="str">
        <x:v>[H14-1]</x:v>
      </x:c>
      <x:c r="D137" s="64" t="str">
        <x:v>触发生命阈值</x:v>
      </x:c>
      <x:c r="E137" s="20" t="str">
        <x:v>%</x:v>
      </x:c>
      <x:c r="F137" s="56" t="n">
        <x:v>30</x:v>
      </x:c>
      <x:c r="G137" s="20" t="str">
        <x:v>「背城」结束时若生命低于最大生命[H14-1]%，最终砸地后额外恢复[H14-2]%最大生命值。</x:v>
      </x:c>
    </x:row>
    <x:row r="138" ht="38" customHeight="1">
      <x:c r="A138" s="20" t="str">
        <x:v>玄垒</x:v>
      </x:c>
      <x:c r="B138" s="20" t="str">
        <x:v>H14｜城不破</x:v>
      </x:c>
      <x:c r="C138" s="20" t="str">
        <x:v>[H14-2]</x:v>
      </x:c>
      <x:c r="D138" s="20" t="str">
        <x:v>额外最大生命回复</x:v>
      </x:c>
      <x:c r="E138" s="20" t="str">
        <x:v>%</x:v>
      </x:c>
      <x:c r="F138" s="56" t="n">
        <x:v>20</x:v>
      </x:c>
      <x:c r="G138" s="20" t="str">
        <x:v>最大生命[H14-1]%，最终砸地后额外恢复[H14-2]%最大生命值。</x:v>
      </x:c>
    </x:row>
    <x:row r="139" ht="38" customHeight="1">
      <x:c r="A139" s="64" t="str">
        <x:v>玄垒</x:v>
      </x:c>
      <x:c r="B139" s="64" t="str">
        <x:v>H15｜第四叩</x:v>
      </x:c>
      <x:c r="C139" s="64" t="str">
        <x:v>[H15-1]</x:v>
      </x:c>
      <x:c r="D139" s="64" t="str">
        <x:v>额外冲锋次数</x:v>
      </x:c>
      <x:c r="E139" s="20" t="str">
        <x:v>次</x:v>
      </x:c>
      <x:c r="F139" s="56" t="n">
        <x:v>1</x:v>
      </x:c>
      <x:c r="G139" s="20" t="str">
        <x:v>「三叩天关」增加[H15-1]次冲锋，最终砸地在追加冲锋完成后触发；每次冲锋伤害降低[H15-</x:v>
      </x:c>
    </x:row>
    <x:row r="140" ht="38" customHeight="1">
      <x:c r="A140" s="20" t="str">
        <x:v>玄垒</x:v>
      </x:c>
      <x:c r="B140" s="20" t="str">
        <x:v>H15｜第四叩</x:v>
      </x:c>
      <x:c r="C140" s="20" t="str">
        <x:v>[H15-2]</x:v>
      </x:c>
      <x:c r="D140" s="20" t="str">
        <x:v>冲锋伤害降低</x:v>
      </x:c>
      <x:c r="E140" s="20" t="str">
        <x:v>%</x:v>
      </x:c>
      <x:c r="F140" s="56" t="n">
        <x:v>10</x:v>
      </x:c>
      <x:c r="G140" s="20" t="str">
        <x:v>终砸地在追加冲锋完成后触发；每次冲锋伤害降低[H15-2]%。</x:v>
      </x:c>
    </x:row>
    <x:row r="141" ht="38" customHeight="1">
      <x:c r="A141" s="64" t="str">
        <x:v>玄垒</x:v>
      </x:c>
      <x:c r="B141" s="64" t="str">
        <x:v>H16｜回马关</x:v>
      </x:c>
      <x:c r="C141" s="64" t="str">
        <x:v>[H16-1]</x:v>
      </x:c>
      <x:c r="D141" s="64" t="str">
        <x:v>反向冲锋夹角阈值</x:v>
      </x:c>
      <x:c r="E141" s="20" t="str">
        <x:v>度</x:v>
      </x:c>
      <x:c r="F141" s="56" t="n">
        <x:v>135</x:v>
      </x:c>
      <x:c r="G141" s="20" t="str">
        <x:v>叩天关」的下一次冲锋方向与上次方向夹角不少于[H16-1]度时，该次冲锋伤害提高[H16-2]%，速度提高[H16-3]%</x:v>
      </x:c>
    </x:row>
    <x:row r="142" ht="38" customHeight="1">
      <x:c r="A142" s="20" t="str">
        <x:v>玄垒</x:v>
      </x:c>
      <x:c r="B142" s="20" t="str">
        <x:v>H16｜回马关</x:v>
      </x:c>
      <x:c r="C142" s="20" t="str">
        <x:v>[H16-2]</x:v>
      </x:c>
      <x:c r="D142" s="20" t="str">
        <x:v>反向伤害提高</x:v>
      </x:c>
      <x:c r="E142" s="20" t="str">
        <x:v>%</x:v>
      </x:c>
      <x:c r="F142" s="56" t="n">
        <x:v>30</x:v>
      </x:c>
      <x:c r="G142" s="20" t="str">
        <x:v>角不少于[H16-1]度时，该次冲锋伤害提高[H16-2]%，速度提高[H16-3]%。</x:v>
      </x:c>
    </x:row>
    <x:row r="143" ht="38" customHeight="1">
      <x:c r="A143" s="20" t="str">
        <x:v>玄垒</x:v>
      </x:c>
      <x:c r="B143" s="20" t="str">
        <x:v>H16｜回马关</x:v>
      </x:c>
      <x:c r="C143" s="20" t="str">
        <x:v>[H16-3]</x:v>
      </x:c>
      <x:c r="D143" s="20" t="str">
        <x:v>反向速度提高</x:v>
      </x:c>
      <x:c r="E143" s="20" t="str">
        <x:v>%</x:v>
      </x:c>
      <x:c r="F143" s="56" t="n">
        <x:v>20</x:v>
      </x:c>
      <x:c r="G143" s="20" t="str">
        <x:v>，该次冲锋伤害提高[H16-2]%，速度提高[H16-3]%。</x:v>
      </x:c>
    </x:row>
    <x:row r="144" ht="38" customHeight="1">
      <x:c r="A144" s="64" t="str">
        <x:v>赫兹</x:v>
      </x:c>
      <x:c r="B144" s="64" t="str">
        <x:v>H01｜全线贯通</x:v>
      </x:c>
      <x:c r="C144" s="64" t="str">
        <x:v>[H01-1]</x:v>
      </x:c>
      <x:c r="D144" s="64" t="str">
        <x:v>炮弹额外穿透敌人数</x:v>
      </x:c>
      <x:c r="E144" s="20" t="str">
        <x:v>名</x:v>
      </x:c>
      <x:c r="F144" s="56" t="n">
        <x:v>1</x:v>
      </x:c>
      <x:c r="G144" s="20" t="str">
        <x:v>「全列齐射」的炮弹可额外贯穿[H01-1]名普通敌人，贯穿后的爆炸半径提高[H01-2]%。</x:v>
      </x:c>
    </x:row>
    <x:row r="145" ht="38" customHeight="1">
      <x:c r="A145" s="20" t="str">
        <x:v>赫兹</x:v>
      </x:c>
      <x:c r="B145" s="20" t="str">
        <x:v>H01｜全线贯通</x:v>
      </x:c>
      <x:c r="C145" s="20" t="str">
        <x:v>[H01-2]</x:v>
      </x:c>
      <x:c r="D145" s="20" t="str">
        <x:v>贯穿后爆炸半径增幅</x:v>
      </x:c>
      <x:c r="E145" s="20" t="str">
        <x:v>%</x:v>
      </x:c>
      <x:c r="F145" s="56" t="n">
        <x:v>30</x:v>
      </x:c>
      <x:c r="G145" s="20" t="str">
        <x:v>H01-1]名普通敌人，贯穿后的爆炸半径提高[H01-2]%。</x:v>
      </x:c>
    </x:row>
    <x:row r="146" ht="38" customHeight="1">
      <x:c r="A146" s="64" t="str">
        <x:v>赫兹</x:v>
      </x:c>
      <x:c r="B146" s="64" t="str">
        <x:v>H02｜抵近炮击</x:v>
      </x:c>
      <x:c r="C146" s="64" t="str">
        <x:v>[H02-1]</x:v>
      </x:c>
      <x:c r="D146" s="64" t="str">
        <x:v>齐射射程降低</x:v>
      </x:c>
      <x:c r="E146" s="20" t="str">
        <x:v>%</x:v>
      </x:c>
      <x:c r="F146" s="56" t="n">
        <x:v>25</x:v>
      </x:c>
      <x:c r="G146" s="20" t="str">
        <x:v>「全列齐射」的射程降低[H02-1]%，最终伤害提高[H02-2]%。</x:v>
      </x:c>
    </x:row>
    <x:row r="147" ht="38" customHeight="1">
      <x:c r="A147" s="20" t="str">
        <x:v>赫兹</x:v>
      </x:c>
      <x:c r="B147" s="20" t="str">
        <x:v>H02｜抵近炮击</x:v>
      </x:c>
      <x:c r="C147" s="20" t="str">
        <x:v>[H02-2]</x:v>
      </x:c>
      <x:c r="D147" s="20" t="str">
        <x:v>齐射最终伤害提高</x:v>
      </x:c>
      <x:c r="E147" s="20" t="str">
        <x:v>%</x:v>
      </x:c>
      <x:c r="F147" s="56" t="n">
        <x:v>35</x:v>
      </x:c>
      <x:c r="G147" s="20" t="str">
        <x:v>射」的射程降低[H02-1]%，最终伤害提高[H02-2]%。</x:v>
      </x:c>
    </x:row>
    <x:row r="148" ht="38" customHeight="1">
      <x:c r="A148" s="64" t="str">
        <x:v>赫兹</x:v>
      </x:c>
      <x:c r="B148" s="64" t="str">
        <x:v>H03｜无限列车</x:v>
      </x:c>
      <x:c r="C148" s="64" t="str">
        <x:v>[H03-1]</x:v>
      </x:c>
      <x:c r="D148" s="64" t="str">
        <x:v>每击杀额外冲锋距离</x:v>
      </x:c>
      <x:c r="E148" s="20" t="str">
        <x:v>米</x:v>
      </x:c>
      <x:c r="F148" s="58" t="n">
        <x:v>0.6</x:v>
      </x:c>
      <x:c r="G148" s="20" t="str">
        <x:v>破阵列车」每击杀一名敌人，使本次冲锋距离增加[H03-1]米，最多增加[H03-2]米。</x:v>
      </x:c>
    </x:row>
    <x:row r="149" ht="38" customHeight="1">
      <x:c r="A149" s="20" t="str">
        <x:v>赫兹</x:v>
      </x:c>
      <x:c r="B149" s="20" t="str">
        <x:v>H03｜无限列车</x:v>
      </x:c>
      <x:c r="C149" s="20" t="str">
        <x:v>[H03-2]</x:v>
      </x:c>
      <x:c r="D149" s="20" t="str">
        <x:v>最大增加距离</x:v>
      </x:c>
      <x:c r="E149" s="20" t="str">
        <x:v>米</x:v>
      </x:c>
      <x:c r="F149" s="56" t="n">
        <x:v>6</x:v>
      </x:c>
      <x:c r="G149" s="20" t="str">
        <x:v>使本次冲锋距离增加[H03-1]米，最多增加[H03-2]米。</x:v>
      </x:c>
    </x:row>
    <x:row r="150" ht="38" customHeight="1">
      <x:c r="A150" s="64" t="str">
        <x:v>赫兹</x:v>
      </x:c>
      <x:c r="B150" s="64" t="str">
        <x:v>H04｜双向通车</x:v>
      </x:c>
      <x:c r="C150" s="64" t="str">
        <x:v>[H04-1]</x:v>
      </x:c>
      <x:c r="D150" s="64" t="str">
        <x:v>返程施法窗口</x:v>
      </x:c>
      <x:c r="E150" s="20" t="str">
        <x:v>秒</x:v>
      </x:c>
      <x:c r="F150" s="58" t="n">
        <x:v>1.5</x:v>
      </x:c>
      <x:c r="G150" s="20" t="str">
        <x:v>「破阵列车」结束后的[H04-1]秒内可再次释放，整列车沿原路线反向开回，造成原技能[H04-2]</x:v>
      </x:c>
    </x:row>
    <x:row r="151" ht="38" customHeight="1">
      <x:c r="A151" s="20" t="str">
        <x:v>赫兹</x:v>
      </x:c>
      <x:c r="B151" s="20" t="str">
        <x:v>H04｜双向通车</x:v>
      </x:c>
      <x:c r="C151" s="20" t="str">
        <x:v>[H04-2]</x:v>
      </x:c>
      <x:c r="D151" s="20" t="str">
        <x:v>返程伤害保留</x:v>
      </x:c>
      <x:c r="E151" s="20" t="str">
        <x:v>%</x:v>
      </x:c>
      <x:c r="F151" s="56" t="n">
        <x:v>65</x:v>
      </x:c>
      <x:c r="G151" s="20" t="str">
        <x:v>再次释放，整列车沿原路线反向开回，造成原技能[H04-2]%的伤害。</x:v>
      </x:c>
    </x:row>
    <x:row r="152" ht="38" customHeight="1">
      <x:c r="A152" s="64" t="str">
        <x:v>赫兹</x:v>
      </x:c>
      <x:c r="B152" s="64" t="str">
        <x:v>H05｜离心灾难</x:v>
      </x:c>
      <x:c r="C152" s="64" t="str">
        <x:v>[H05-1]</x:v>
      </x:c>
      <x:c r="D152" s="64" t="str">
        <x:v>触发敌人数</x:v>
      </x:c>
      <x:c r="E152" s="20" t="str">
        <x:v>名</x:v>
      </x:c>
      <x:c r="F152" s="56" t="n">
        <x:v>5</x:v>
      </x:c>
      <x:c r="G152" s="20" t="str">
        <x:v>「甩尾」命中至少[H05-1]名敌人时，完成原横扫后自动再转[H05-2]度，额外横扫造成原技</x:v>
      </x:c>
    </x:row>
    <x:row r="153" ht="38" customHeight="1">
      <x:c r="A153" s="20" t="str">
        <x:v>赫兹</x:v>
      </x:c>
      <x:c r="B153" s="20" t="str">
        <x:v>H05｜离心灾难</x:v>
      </x:c>
      <x:c r="C153" s="20" t="str">
        <x:v>[H05-2]</x:v>
      </x:c>
      <x:c r="D153" s="20" t="str">
        <x:v>额外横扫角度</x:v>
      </x:c>
      <x:c r="E153" s="20" t="str">
        <x:v>度</x:v>
      </x:c>
      <x:c r="F153" s="56" t="n">
        <x:v>180</x:v>
      </x:c>
      <x:c r="G153" s="20" t="str">
        <x:v>[H05-1]名敌人时，完成原横扫后自动再转[H05-2]度，额外横扫造成原技能[H05-3]%的伤害，动作持续[H05-</x:v>
      </x:c>
    </x:row>
    <x:row r="154" ht="38" customHeight="1">
      <x:c r="A154" s="20" t="str">
        <x:v>赫兹</x:v>
      </x:c>
      <x:c r="B154" s="20" t="str">
        <x:v>H05｜离心灾难</x:v>
      </x:c>
      <x:c r="C154" s="20" t="str">
        <x:v>[H05-3]</x:v>
      </x:c>
      <x:c r="D154" s="20" t="str">
        <x:v>额外横扫伤害比例</x:v>
      </x:c>
      <x:c r="E154" s="20" t="str">
        <x:v>%</x:v>
      </x:c>
      <x:c r="F154" s="56" t="n">
        <x:v>50</x:v>
      </x:c>
      <x:c r="G154" s="20" t="str">
        <x:v>自动再转[H05-2]度，额外横扫造成原技能[H05-3]%的伤害，动作持续[H05-4]秒。</x:v>
      </x:c>
    </x:row>
    <x:row r="155" ht="38" customHeight="1">
      <x:c r="A155" s="20" t="str">
        <x:v>赫兹</x:v>
      </x:c>
      <x:c r="B155" s="20" t="str">
        <x:v>H05｜离心灾难</x:v>
      </x:c>
      <x:c r="C155" s="20" t="str">
        <x:v>[H05-4]</x:v>
      </x:c>
      <x:c r="D155" s="20" t="str">
        <x:v>额外横扫时长</x:v>
      </x:c>
      <x:c r="E155" s="20" t="str">
        <x:v>秒</x:v>
      </x:c>
      <x:c r="F155" s="58" t="n">
        <x:v>0.3</x:v>
      </x:c>
      <x:c r="G155" s="20" t="str">
        <x:v>扫造成原技能[H05-3]%的伤害，动作持续[H05-4]秒。</x:v>
      </x:c>
    </x:row>
    <x:row r="156" ht="38" customHeight="1">
      <x:c r="A156" s="64" t="str">
        <x:v>赫兹</x:v>
      </x:c>
      <x:c r="B156" s="64" t="str">
        <x:v>H06｜倒地不起</x:v>
      </x:c>
      <x:c r="C156" s="64" t="str">
        <x:v>[H06-1]</x:v>
      </x:c>
      <x:c r="D156" s="64" t="str">
        <x:v>命中人数须小于</x:v>
      </x:c>
      <x:c r="E156" s="20" t="str">
        <x:v>名</x:v>
      </x:c>
      <x:c r="F156" s="56" t="n">
        <x:v>5</x:v>
      </x:c>
      <x:c r="G156" s="20" t="str">
        <x:v>「甩尾」命中少于[H06-1]名敌人时，命中的可控制敌人被击退后额外定身[H06-2]秒。</x:v>
      </x:c>
    </x:row>
    <x:row r="157" ht="38" customHeight="1">
      <x:c r="A157" s="20" t="str">
        <x:v>赫兹</x:v>
      </x:c>
      <x:c r="B157" s="20" t="str">
        <x:v>H06｜倒地不起</x:v>
      </x:c>
      <x:c r="C157" s="20" t="str">
        <x:v>[H06-2]</x:v>
      </x:c>
      <x:c r="D157" s="20" t="str">
        <x:v>额外定身持续</x:v>
      </x:c>
      <x:c r="E157" s="20" t="str">
        <x:v>秒</x:v>
      </x:c>
      <x:c r="F157" s="58" t="n">
        <x:v>1.5</x:v>
      </x:c>
      <x:c r="G157" s="20" t="str">
        <x:v>]名敌人时，命中的可控制敌人被击退后额外定身[H06-2]秒。</x:v>
      </x:c>
    </x:row>
    <x:row r="158" ht="38" customHeight="1">
      <x:c r="A158" s="64" t="str">
        <x:v>赫兹</x:v>
      </x:c>
      <x:c r="B158" s="64" t="str">
        <x:v>H07｜弃卒保车</x:v>
      </x:c>
      <x:c r="C158" s="64" t="str">
        <x:v>[H07-1]</x:v>
      </x:c>
      <x:c r="D158" s="64" t="str">
        <x:v>解挂间隔</x:v>
      </x:c>
      <x:c r="E158" s="20" t="str">
        <x:v>秒</x:v>
      </x:c>
      <x:c r="F158" s="58" t="n">
        <x:v>0.25</x:v>
      </x:c>
      <x:c r="G158" s="20" t="str">
        <x:v>按住「断尾」时每隔[H07-1]秒依次解挂车厢，最多解挂[H07-2]节且不低于最低编组。每节脱</x:v>
      </x:c>
    </x:row>
    <x:row r="159" ht="38" customHeight="1">
      <x:c r="A159" s="20" t="str">
        <x:v>赫兹</x:v>
      </x:c>
      <x:c r="B159" s="20" t="str">
        <x:v>H07｜弃卒保车</x:v>
      </x:c>
      <x:c r="C159" s="20" t="str">
        <x:v>[H07-2]</x:v>
      </x:c>
      <x:c r="D159" s="20" t="str">
        <x:v>最多解挂数</x:v>
      </x:c>
      <x:c r="E159" s="20" t="str">
        <x:v>节</x:v>
      </x:c>
      <x:c r="F159" s="56" t="n">
        <x:v>3</x:v>
      </x:c>
      <x:c r="G159" s="20" t="str">
        <x:v>时每隔[H07-1]秒依次解挂车厢，最多解挂[H07-2]节且不低于最低编组。每节脱离车厢分别按「断尾」滑行并爆炸，各造成</x:v>
      </x:c>
    </x:row>
    <x:row r="160" ht="38" customHeight="1">
      <x:c r="A160" s="20" t="str">
        <x:v>赫兹</x:v>
      </x:c>
      <x:c r="B160" s="20" t="str">
        <x:v>H07｜弃卒保车</x:v>
      </x:c>
      <x:c r="C160" s="20" t="str">
        <x:v>[H07-3]</x:v>
      </x:c>
      <x:c r="D160" s="20" t="str">
        <x:v>每节爆炸伤害比例</x:v>
      </x:c>
      <x:c r="E160" s="20" t="str">
        <x:v>%</x:v>
      </x:c>
      <x:c r="F160" s="56" t="n">
        <x:v>100</x:v>
      </x:c>
      <x:c r="G160" s="20" t="str">
        <x:v>车厢分别按「断尾」滑行并爆炸，各造成原伤害的[H07-3]%。</x:v>
      </x:c>
    </x:row>
    <x:row r="161" ht="38" customHeight="1">
      <x:c r="A161" s="64" t="str">
        <x:v>赫兹</x:v>
      </x:c>
      <x:c r="B161" s="64" t="str">
        <x:v>H08｜加速逃离</x:v>
      </x:c>
      <x:c r="C161" s="64" t="str">
        <x:v>[H08-1]</x:v>
      </x:c>
      <x:c r="D161" s="64" t="str">
        <x:v>不可选中与移速倍率</x:v>
      </x:c>
      <x:c r="E161" s="20" t="str">
        <x:v>倍</x:v>
      </x:c>
      <x:c r="F161" s="56" t="n">
        <x:v>3</x:v>
      </x:c>
      <x:c r="G161" s="20" t="str">
        <x:v>不可选中持续时间与移动速度加成均变为原效果的[H08-1]倍。</x:v>
      </x:c>
    </x:row>
    <x:row r="162" ht="38" customHeight="1">
      <x:c r="A162" s="64" t="str">
        <x:v>赫兹</x:v>
      </x:c>
      <x:c r="B162" s="64" t="str">
        <x:v>H09｜极限制动</x:v>
      </x:c>
      <x:c r="C162" s="64" t="str">
        <x:v>[H09-1]</x:v>
      </x:c>
      <x:c r="D162" s="64" t="str">
        <x:v>压力伤害上限提高</x:v>
      </x:c>
      <x:c r="E162" s="20" t="str">
        <x:v>%</x:v>
      </x:c>
      <x:c r="F162" s="56" t="n">
        <x:v>50</x:v>
      </x:c>
      <x:c r="G162" s="20" t="str">
        <x:v>「紧急制动」的压力转化伤害上限提高[H09-1]%；达到上限时，环形冲击额外眩晕普通敌人[H09-2]秒。</x:v>
      </x:c>
    </x:row>
    <x:row r="163" ht="38" customHeight="1">
      <x:c r="A163" s="20" t="str">
        <x:v>赫兹</x:v>
      </x:c>
      <x:c r="B163" s="20" t="str">
        <x:v>H09｜极限制动</x:v>
      </x:c>
      <x:c r="C163" s="20" t="str">
        <x:v>[H09-2]</x:v>
      </x:c>
      <x:c r="D163" s="20" t="str">
        <x:v>满压额外眩晕</x:v>
      </x:c>
      <x:c r="E163" s="20" t="str">
        <x:v>秒</x:v>
      </x:c>
      <x:c r="F163" s="58" t="n">
        <x:v>0.8</x:v>
      </x:c>
      <x:c r="G163" s="20" t="str">
        <x:v>1]%；达到上限时，环形冲击额外眩晕普通敌人[H09-2]秒。</x:v>
      </x:c>
    </x:row>
    <x:row r="164" ht="38" customHeight="1">
      <x:c r="A164" s="64" t="str">
        <x:v>赫兹</x:v>
      </x:c>
      <x:c r="B164" s="64" t="str">
        <x:v>H10｜弹簧编组</x:v>
      </x:c>
      <x:c r="C164" s="64" t="str">
        <x:v>[H10-1]</x:v>
      </x:c>
      <x:c r="D164" s="64" t="str">
        <x:v>弹开距离</x:v>
      </x:c>
      <x:c r="E164" s="20" t="str">
        <x:v>米</x:v>
      </x:c>
      <x:c r="F164" s="56" t="n">
        <x:v>4</x:v>
      </x:c>
      <x:c r="G164" s="20" t="str">
        <x:v>「紧急制动」结束的环形冲击将普通敌人向外击退[H10-1]米，持续[H10-2]秒，并使赫兹获得[H10-3]%移动速度，</x:v>
      </x:c>
    </x:row>
    <x:row r="165" ht="38" customHeight="1">
      <x:c r="A165" s="20" t="str">
        <x:v>赫兹</x:v>
      </x:c>
      <x:c r="B165" s="20" t="str">
        <x:v>H10｜弹簧编组</x:v>
      </x:c>
      <x:c r="C165" s="20" t="str">
        <x:v>[H10-2]</x:v>
      </x:c>
      <x:c r="D165" s="20" t="str">
        <x:v>弹开持续</x:v>
      </x:c>
      <x:c r="E165" s="20" t="str">
        <x:v>秒</x:v>
      </x:c>
      <x:c r="F165" s="58" t="n">
        <x:v>0.35</x:v>
      </x:c>
      <x:c r="G165" s="20" t="str">
        <x:v>冲击将普通敌人向外击退[H10-1]米，持续[H10-2]秒，并使赫兹获得[H10-3]%移动速度，持续[H10-4]秒。</x:v>
      </x:c>
    </x:row>
    <x:row r="166" ht="38" customHeight="1">
      <x:c r="A166" s="20" t="str">
        <x:v>赫兹</x:v>
      </x:c>
      <x:c r="B166" s="20" t="str">
        <x:v>H10｜弹簧编组</x:v>
      </x:c>
      <x:c r="C166" s="20" t="str">
        <x:v>[H10-3]</x:v>
      </x:c>
      <x:c r="D166" s="20" t="str">
        <x:v>随后移速增幅</x:v>
      </x:c>
      <x:c r="E166" s="20" t="str">
        <x:v>%</x:v>
      </x:c>
      <x:c r="F166" s="56" t="n">
        <x:v>25</x:v>
      </x:c>
      <x:c r="G166" s="20" t="str">
        <x:v>-1]米，持续[H10-2]秒，并使赫兹获得[H10-3]%移动速度，持续[H10-4]秒。</x:v>
      </x:c>
    </x:row>
    <x:row r="167" ht="38" customHeight="1">
      <x:c r="A167" s="20" t="str">
        <x:v>赫兹</x:v>
      </x:c>
      <x:c r="B167" s="20" t="str">
        <x:v>H10｜弹簧编组</x:v>
      </x:c>
      <x:c r="C167" s="20" t="str">
        <x:v>[H10-4]</x:v>
      </x:c>
      <x:c r="D167" s="20" t="str">
        <x:v>随后移速持续</x:v>
      </x:c>
      <x:c r="E167" s="20" t="str">
        <x:v>秒</x:v>
      </x:c>
      <x:c r="F167" s="56" t="n">
        <x:v>2</x:v>
      </x:c>
      <x:c r="G167" s="20" t="str">
        <x:v>，并使赫兹获得[H10-3]%移动速度，持续[H10-4]秒。</x:v>
      </x:c>
    </x:row>
    <x:row r="168" ht="38" customHeight="1">
      <x:c r="A168" s="64" t="str">
        <x:v>赫兹</x:v>
      </x:c>
      <x:c r="B168" s="64" t="str">
        <x:v>H11｜快速抢修</x:v>
      </x:c>
      <x:c r="C168" s="64" t="str">
        <x:v>[H11-1]</x:v>
      </x:c>
      <x:c r="D168" s="64" t="str">
        <x:v>检修持续改为</x:v>
      </x:c>
      <x:c r="E168" s="20" t="str">
        <x:v>秒</x:v>
      </x:c>
      <x:c r="F168" s="56" t="n">
        <x:v>4</x:v>
      </x:c>
      <x:c r="G168" s="20" t="str">
        <x:v>「战地检修」持续时间改为[H11-1]秒，完整检修的总治疗量改为原效果的[H11-2]%，基础冷却降低</x:v>
      </x:c>
    </x:row>
    <x:row r="169" ht="38" customHeight="1">
      <x:c r="A169" s="20" t="str">
        <x:v>赫兹</x:v>
      </x:c>
      <x:c r="B169" s="20" t="str">
        <x:v>H11｜快速抢修</x:v>
      </x:c>
      <x:c r="C169" s="20" t="str">
        <x:v>[H11-2]</x:v>
      </x:c>
      <x:c r="D169" s="20" t="str">
        <x:v>总治疗保留比例</x:v>
      </x:c>
      <x:c r="E169" s="20" t="str">
        <x:v>%</x:v>
      </x:c>
      <x:c r="F169" s="56" t="n">
        <x:v>80</x:v>
      </x:c>
      <x:c r="G169" s="20" t="str">
        <x:v>11-1]秒，完整检修的总治疗量改为原效果的[H11-2]%，基础冷却降低[H11-3]%。</x:v>
      </x:c>
    </x:row>
    <x:row r="170" ht="38" customHeight="1">
      <x:c r="A170" s="20" t="str">
        <x:v>赫兹</x:v>
      </x:c>
      <x:c r="B170" s="20" t="str">
        <x:v>H11｜快速抢修</x:v>
      </x:c>
      <x:c r="C170" s="20" t="str">
        <x:v>[H11-3]</x:v>
      </x:c>
      <x:c r="D170" s="20" t="str">
        <x:v>基础冷却降低</x:v>
      </x:c>
      <x:c r="E170" s="20" t="str">
        <x:v>%</x:v>
      </x:c>
      <x:c r="F170" s="56" t="n">
        <x:v>20</x:v>
      </x:c>
      <x:c r="G170" s="20" t="str">
        <x:v>量改为原效果的[H11-2]%，基础冷却降低[H11-3]%。</x:v>
      </x:c>
    </x:row>
    <x:row r="171" ht="38" customHeight="1">
      <x:c r="A171" s="64" t="str">
        <x:v>赫兹</x:v>
      </x:c>
      <x:c r="B171" s="64" t="str">
        <x:v>H12｜满修启动</x:v>
      </x:c>
      <x:c r="C171" s="64" t="str">
        <x:v>[H12-1]</x:v>
      </x:c>
      <x:c r="D171" s="64" t="str">
        <x:v>检修后攻速增幅</x:v>
      </x:c>
      <x:c r="E171" s="20" t="str">
        <x:v>%</x:v>
      </x:c>
      <x:c r="F171" s="56" t="n">
        <x:v>25</x:v>
      </x:c>
      <x:c r="G171" s="20" t="str">
        <x:v>「战地检修」完整结束后，获得[H12-1]%攻击速度与[H12-2]%移动速度，持续[H12-3]秒。</x:v>
      </x:c>
    </x:row>
    <x:row r="172" ht="38" customHeight="1">
      <x:c r="A172" s="20" t="str">
        <x:v>赫兹</x:v>
      </x:c>
      <x:c r="B172" s="20" t="str">
        <x:v>H12｜满修启动</x:v>
      </x:c>
      <x:c r="C172" s="20" t="str">
        <x:v>[H12-2]</x:v>
      </x:c>
      <x:c r="D172" s="20" t="str">
        <x:v>检修后移速增幅</x:v>
      </x:c>
      <x:c r="E172" s="20" t="str">
        <x:v>%</x:v>
      </x:c>
      <x:c r="F172" s="56" t="n">
        <x:v>20</x:v>
      </x:c>
      <x:c r="G172" s="20" t="str">
        <x:v>」完整结束后，获得[H12-1]%攻击速度与[H12-2]%移动速度，持续[H12-3]秒。</x:v>
      </x:c>
    </x:row>
    <x:row r="173" ht="38" customHeight="1">
      <x:c r="A173" s="20" t="str">
        <x:v>赫兹</x:v>
      </x:c>
      <x:c r="B173" s="20" t="str">
        <x:v>H12｜满修启动</x:v>
      </x:c>
      <x:c r="C173" s="20" t="str">
        <x:v>[H12-3]</x:v>
      </x:c>
      <x:c r="D173" s="20" t="str">
        <x:v>增益持续</x:v>
      </x:c>
      <x:c r="E173" s="20" t="str">
        <x:v>秒</x:v>
      </x:c>
      <x:c r="F173" s="56" t="n">
        <x:v>5</x:v>
      </x:c>
      <x:c r="G173" s="20" t="str">
        <x:v>]%攻击速度与[H12-2]%移动速度，持续[H12-3]秒。</x:v>
      </x:c>
    </x:row>
    <x:row r="174" ht="38" customHeight="1">
      <x:c r="A174" s="64" t="str">
        <x:v>赫兹</x:v>
      </x:c>
      <x:c r="B174" s="64" t="str">
        <x:v>H13｜炮兵编组</x:v>
      </x:c>
      <x:c r="C174" s="64" t="str">
        <x:v>—</x:v>
      </x:c>
      <x:c r="D174" s="64" t="str">
        <x:v>纯机制，无独立参数</x:v>
      </x:c>
      <x:c r="E174" s="20" t="str">
        <x:v>—</x:v>
      </x:c>
      <x:c r="F174" s="26"/>
      <x:c r="G174" s="20" t="str">
        <x:v>「战争列车」期间，所有车厢优先攻击赫兹当前普通攻击的目标。</x:v>
      </x:c>
    </x:row>
    <x:row r="175" ht="38" customHeight="1">
      <x:c r="A175" s="64" t="str">
        <x:v>赫兹</x:v>
      </x:c>
      <x:c r="B175" s="64" t="str">
        <x:v>H14｜全车开火</x:v>
      </x:c>
      <x:c r="C175" s="64" t="str">
        <x:v>[H14-1]</x:v>
      </x:c>
      <x:c r="D175" s="64" t="str">
        <x:v>战争列车期间齐射基础冷却</x:v>
      </x:c>
      <x:c r="E175" s="20" t="str">
        <x:v>秒</x:v>
      </x:c>
      <x:c r="F175" s="58" t="n">
        <x:v>2.8</x:v>
      </x:c>
      <x:c r="G175" s="20" t="str">
        <x:v>「战争列车」期间，「全列齐射」的基础冷却改为[H14-1]秒。</x:v>
      </x:c>
    </x:row>
    <x:row r="176" ht="38" customHeight="1">
      <x:c r="A176" s="64" t="str">
        <x:v>赫兹</x:v>
      </x:c>
      <x:c r="B176" s="64" t="str">
        <x:v>H15｜第八站</x:v>
      </x:c>
      <x:c r="C176" s="64" t="str">
        <x:v>[H15-1]</x:v>
      </x:c>
      <x:c r="D176" s="64" t="str">
        <x:v>幽灵列车宽度</x:v>
      </x:c>
      <x:c r="E176" s="20" t="str">
        <x:v>米</x:v>
      </x:c>
      <x:c r="F176" s="56" t="n">
        <x:v>6</x:v>
      </x:c>
      <x:c r="G176" s="20" t="str">
        <x:v>灵列车，沿与终点号垂直的方向横穿竞技场；宽度[H15-1]米、长度[H15-2]米、速度[H15-3]米/秒，造成[H15</x:v>
      </x:c>
    </x:row>
    <x:row r="177" ht="38" customHeight="1">
      <x:c r="A177" s="20" t="str">
        <x:v>赫兹</x:v>
      </x:c>
      <x:c r="B177" s="20" t="str">
        <x:v>H15｜第八站</x:v>
      </x:c>
      <x:c r="C177" s="20" t="str">
        <x:v>[H15-2]</x:v>
      </x:c>
      <x:c r="D177" s="20" t="str">
        <x:v>幽灵列车长度</x:v>
      </x:c>
      <x:c r="E177" s="20" t="str">
        <x:v>米</x:v>
      </x:c>
      <x:c r="F177" s="56" t="n">
        <x:v>32</x:v>
      </x:c>
      <x:c r="G177" s="20" t="str">
        <x:v>的方向横穿竞技场；宽度[H15-1]米、长度[H15-2]米、速度[H15-3]米/秒，造成[H15-4]+[H15-5]</x:v>
      </x:c>
    </x:row>
    <x:row r="178" ht="38" customHeight="1">
      <x:c r="A178" s="20" t="str">
        <x:v>赫兹</x:v>
      </x:c>
      <x:c r="B178" s="20" t="str">
        <x:v>H15｜第八站</x:v>
      </x:c>
      <x:c r="C178" s="20" t="str">
        <x:v>[H15-3]</x:v>
      </x:c>
      <x:c r="D178" s="20" t="str">
        <x:v>幽灵列车速度</x:v>
      </x:c>
      <x:c r="E178" s="20" t="str">
        <x:v>米/秒</x:v>
      </x:c>
      <x:c r="F178" s="56" t="n">
        <x:v>32</x:v>
      </x:c>
      <x:c r="G178" s="20" t="str">
        <x:v>[H15-1]米、长度[H15-2]米、速度[H15-3]米/秒，造成[H15-4]+[H15-5]%AD普通伤害。</x:v>
      </x:c>
    </x:row>
    <x:row r="179" ht="38" customHeight="1">
      <x:c r="A179" s="20" t="str">
        <x:v>赫兹</x:v>
      </x:c>
      <x:c r="B179" s="20" t="str">
        <x:v>H15｜第八站</x:v>
      </x:c>
      <x:c r="C179" s="20" t="str">
        <x:v>[H15-4]</x:v>
      </x:c>
      <x:c r="D179" s="20" t="str">
        <x:v>幽灵列车固定伤害</x:v>
      </x:c>
      <x:c r="E179" s="20" t="str">
        <x:v>点</x:v>
      </x:c>
      <x:c r="F179" s="56" t="n">
        <x:v>350</x:v>
      </x:c>
      <x:c r="G179" s="20" t="str">
        <x:v>15-2]米、速度[H15-3]米/秒，造成[H15-4]+[H15-5]%AD普通伤害。</x:v>
      </x:c>
    </x:row>
    <x:row r="180" ht="38" customHeight="1">
      <x:c r="A180" s="20" t="str">
        <x:v>赫兹</x:v>
      </x:c>
      <x:c r="B180" s="20" t="str">
        <x:v>H15｜第八站</x:v>
      </x:c>
      <x:c r="C180" s="20" t="str">
        <x:v>[H15-5]</x:v>
      </x:c>
      <x:c r="D180" s="20" t="str">
        <x:v>幽灵列车AD系数</x:v>
      </x:c>
      <x:c r="E180" s="20" t="str">
        <x:v>%AD</x:v>
      </x:c>
      <x:c r="F180" s="56" t="n">
        <x:v>280</x:v>
      </x:c>
      <x:c r="G180" s="20" t="str">
        <x:v>度[H15-3]米/秒，造成[H15-4]+[H15-5]%AD普通伤害。</x:v>
      </x:c>
    </x:row>
    <x:row r="181" ht="38" customHeight="1">
      <x:c r="A181" s="64" t="str">
        <x:v>赫兹</x:v>
      </x:c>
      <x:c r="B181" s="64" t="str">
        <x:v>H16｜重型列车</x:v>
      </x:c>
      <x:c r="C181" s="64" t="str">
        <x:v>[H16-1]</x:v>
      </x:c>
      <x:c r="D181" s="64" t="str">
        <x:v>所有车体撞击伤害提高</x:v>
      </x:c>
      <x:c r="E181" s="20" t="str">
        <x:v>%</x:v>
      </x:c>
      <x:c r="F181" s="56" t="n">
        <x:v>25</x:v>
      </x:c>
      <x:c r="G181" s="20" t="str">
        <x:v>赫兹的车体与车厢撞击伤害提高[H16-1]%。</x:v>
      </x:c>
    </x:row>
    <x:row r="182" ht="38" customHeight="1">
      <x:c r="A182" s="64" t="str">
        <x:v>弥罗</x:v>
      </x:c>
      <x:c r="B182" s="64" t="str">
        <x:v>H01｜连皮带骨</x:v>
      </x:c>
      <x:c r="C182" s="64" t="str">
        <x:v>[H01-1]</x:v>
      </x:c>
      <x:c r="D182" s="64" t="str">
        <x:v>返还食质概率</x:v>
      </x:c>
      <x:c r="E182" s="20" t="str">
        <x:v>%</x:v>
      </x:c>
      <x:c r="F182" s="56" t="n">
        <x:v>50</x:v>
      </x:c>
      <x:c r="G182" s="20" t="str">
        <x:v>「鲸吞」击杀普通敌人时，有[H01-1]%概率返还本次饱食强化消耗的食质；单次施法最多返还[H01-2]</x:v>
      </x:c>
    </x:row>
    <x:row r="183" ht="38" customHeight="1">
      <x:c r="A183" s="20" t="str">
        <x:v>弥罗</x:v>
      </x:c>
      <x:c r="B183" s="20" t="str">
        <x:v>H01｜连皮带骨</x:v>
      </x:c>
      <x:c r="C183" s="20" t="str">
        <x:v>[H01-2]</x:v>
      </x:c>
      <x:c r="D183" s="20" t="str">
        <x:v>单次返还上限</x:v>
      </x:c>
      <x:c r="E183" s="20" t="str">
        <x:v>格</x:v>
      </x:c>
      <x:c r="F183" s="56" t="n">
        <x:v>1</x:v>
      </x:c>
      <x:c r="G183" s="20" t="str">
        <x:v>返还本次饱食强化消耗的食质；单次施法最多返还[H01-2]格。</x:v>
      </x:c>
    </x:row>
    <x:row r="184" ht="38" customHeight="1">
      <x:c r="A184" s="64" t="str">
        <x:v>弥罗</x:v>
      </x:c>
      <x:c r="B184" s="64" t="str">
        <x:v>H02｜越残越香</x:v>
      </x:c>
      <x:c r="C184" s="64" t="str">
        <x:v>[H02-1]</x:v>
      </x:c>
      <x:c r="D184" s="64" t="str">
        <x:v>低生命阈值</x:v>
      </x:c>
      <x:c r="E184" s="20" t="str">
        <x:v>%</x:v>
      </x:c>
      <x:c r="F184" s="56" t="n">
        <x:v>30</x:v>
      </x:c>
      <x:c r="G184" s="20" t="str">
        <x:v>「鲸吞」对生命低于最大生命[H02-1]%的敌人，牵引距离提高[H02-2]%，最终伤害提高[H02-3</x:v>
      </x:c>
    </x:row>
    <x:row r="185" ht="38" customHeight="1">
      <x:c r="A185" s="20" t="str">
        <x:v>弥罗</x:v>
      </x:c>
      <x:c r="B185" s="20" t="str">
        <x:v>H02｜越残越香</x:v>
      </x:c>
      <x:c r="C185" s="20" t="str">
        <x:v>[H02-2]</x:v>
      </x:c>
      <x:c r="D185" s="20" t="str">
        <x:v>牵引距离提高</x:v>
      </x:c>
      <x:c r="E185" s="20" t="str">
        <x:v>%</x:v>
      </x:c>
      <x:c r="F185" s="56" t="n">
        <x:v>40</x:v>
      </x:c>
      <x:c r="G185" s="20" t="str">
        <x:v>最大生命[H02-1]%的敌人，牵引距离提高[H02-2]%，最终伤害提高[H02-3]%；Boss只获得伤害增幅，不受额</x:v>
      </x:c>
    </x:row>
    <x:row r="186" ht="38" customHeight="1">
      <x:c r="A186" s="20" t="str">
        <x:v>弥罗</x:v>
      </x:c>
      <x:c r="B186" s="20" t="str">
        <x:v>H02｜越残越香</x:v>
      </x:c>
      <x:c r="C186" s="20" t="str">
        <x:v>[H02-3]</x:v>
      </x:c>
      <x:c r="D186" s="20" t="str">
        <x:v>最终伤害提高</x:v>
      </x:c>
      <x:c r="E186" s="20" t="str">
        <x:v>%</x:v>
      </x:c>
      <x:c r="F186" s="56" t="n">
        <x:v>35</x:v>
      </x:c>
      <x:c r="G186" s="20" t="str">
        <x:v>，牵引距离提高[H02-2]%，最终伤害提高[H02-3]%；Boss只获得伤害增幅，不受额外牵引。</x:v>
      </x:c>
    </x:row>
    <x:row r="187" ht="38" customHeight="1">
      <x:c r="A187" s="64" t="str">
        <x:v>弥罗</x:v>
      </x:c>
      <x:c r="B187" s="64" t="str">
        <x:v>H03｜隔夜饭</x:v>
      </x:c>
      <x:c r="C187" s="64" t="str">
        <x:v>[H03-1]</x:v>
      </x:c>
      <x:c r="D187" s="64" t="str">
        <x:v>胃液半径</x:v>
      </x:c>
      <x:c r="E187" s="20" t="str">
        <x:v>米</x:v>
      </x:c>
      <x:c r="F187" s="58" t="n">
        <x:v>3.5</x:v>
      </x:c>
      <x:c r="G187" s="20" t="str">
        <x:v>「反刍炮」爆炸后，在半径[H03-1]米内留下持续[H03-2]秒的胃液；每隔[H03-3]秒对其中敌</x:v>
      </x:c>
    </x:row>
    <x:row r="188" ht="38" customHeight="1">
      <x:c r="A188" s="20" t="str">
        <x:v>弥罗</x:v>
      </x:c>
      <x:c r="B188" s="20" t="str">
        <x:v>H03｜隔夜饭</x:v>
      </x:c>
      <x:c r="C188" s="20" t="str">
        <x:v>[H03-2]</x:v>
      </x:c>
      <x:c r="D188" s="20" t="str">
        <x:v>胃液持续</x:v>
      </x:c>
      <x:c r="E188" s="20" t="str">
        <x:v>秒</x:v>
      </x:c>
      <x:c r="F188" s="56" t="n">
        <x:v>3</x:v>
      </x:c>
      <x:c r="G188" s="20" t="str">
        <x:v>炮」爆炸后，在半径[H03-1]米内留下持续[H03-2]秒的胃液；每隔[H03-3]秒对其中敌人造成[H03-4]+[H</x:v>
      </x:c>
    </x:row>
    <x:row r="189" ht="38" customHeight="1">
      <x:c r="A189" s="20" t="str">
        <x:v>弥罗</x:v>
      </x:c>
      <x:c r="B189" s="20" t="str">
        <x:v>H03｜隔夜饭</x:v>
      </x:c>
      <x:c r="C189" s="20" t="str">
        <x:v>[H03-3]</x:v>
      </x:c>
      <x:c r="D189" s="20" t="str">
        <x:v>跳伤间隔</x:v>
      </x:c>
      <x:c r="E189" s="20" t="str">
        <x:v>秒</x:v>
      </x:c>
      <x:c r="F189" s="58" t="n">
        <x:v>0.5</x:v>
      </x:c>
      <x:c r="G189" s="20" t="str">
        <x:v>1]米内留下持续[H03-2]秒的胃液；每隔[H03-3]秒对其中敌人造成[H03-4]+[H03-5]%AP普通伤害。</x:v>
      </x:c>
    </x:row>
    <x:row r="190" ht="38" customHeight="1">
      <x:c r="A190" s="20" t="str">
        <x:v>弥罗</x:v>
      </x:c>
      <x:c r="B190" s="20" t="str">
        <x:v>H03｜隔夜饭</x:v>
      </x:c>
      <x:c r="C190" s="20" t="str">
        <x:v>[H03-4]</x:v>
      </x:c>
      <x:c r="D190" s="20" t="str">
        <x:v>每跳固定伤害</x:v>
      </x:c>
      <x:c r="E190" s="20" t="str">
        <x:v>点</x:v>
      </x:c>
      <x:c r="F190" s="56" t="n">
        <x:v>15</x:v>
      </x:c>
      <x:c r="G190" s="20" t="str">
        <x:v>秒的胃液；每隔[H03-3]秒对其中敌人造成[H03-4]+[H03-5]%AP普通伤害。</x:v>
      </x:c>
    </x:row>
    <x:row r="191" ht="38" customHeight="1">
      <x:c r="A191" s="20" t="str">
        <x:v>弥罗</x:v>
      </x:c>
      <x:c r="B191" s="20" t="str">
        <x:v>H03｜隔夜饭</x:v>
      </x:c>
      <x:c r="C191" s="20" t="str">
        <x:v>[H03-5]</x:v>
      </x:c>
      <x:c r="D191" s="20" t="str">
        <x:v>每跳AP系数</x:v>
      </x:c>
      <x:c r="E191" s="20" t="str">
        <x:v>%AP</x:v>
      </x:c>
      <x:c r="F191" s="56" t="n">
        <x:v>15</x:v>
      </x:c>
      <x:c r="G191" s="20" t="str">
        <x:v>H03-3]秒对其中敌人造成[H03-4]+[H03-5]%AP普通伤害。</x:v>
      </x:c>
    </x:row>
    <x:row r="192" ht="38" customHeight="1">
      <x:c r="A192" s="64" t="str">
        <x:v>弥罗</x:v>
      </x:c>
      <x:c r="B192" s="64" t="str">
        <x:v>H04｜再嚼一遍</x:v>
      </x:c>
      <x:c r="C192" s="64" t="str">
        <x:v>[H04-1]</x:v>
      </x:c>
      <x:c r="D192" s="64" t="str">
        <x:v>小球数量</x:v>
      </x:c>
      <x:c r="E192" s="20" t="str">
        <x:v>点</x:v>
      </x:c>
      <x:c r="F192" s="56" t="n">
        <x:v>3</x:v>
      </x:c>
      <x:c r="G192" s="20" t="str">
        <x:v>饱食强化的「反刍炮」爆炸后分裂出[H04-1]颗食质球，分别追踪[H04-2]米内的敌人，以[H04-3]米/</x:v>
      </x:c>
    </x:row>
    <x:row r="193" ht="38" customHeight="1">
      <x:c r="A193" s="20" t="str">
        <x:v>弥罗</x:v>
      </x:c>
      <x:c r="B193" s="20" t="str">
        <x:v>H04｜再嚼一遍</x:v>
      </x:c>
      <x:c r="C193" s="20" t="str">
        <x:v>[H04-2]</x:v>
      </x:c>
      <x:c r="D193" s="20" t="str">
        <x:v>小球寻敌半径</x:v>
      </x:c>
      <x:c r="E193" s="20" t="str">
        <x:v>米</x:v>
      </x:c>
      <x:c r="F193" s="56" t="n">
        <x:v>8</x:v>
      </x:c>
      <x:c r="G193" s="20" t="str">
        <x:v>爆炸后分裂出[H04-1]颗食质球，分别追踪[H04-2]米内的敌人，以[H04-3]米/秒飞行；每颗命中后在半径[H04</x:v>
      </x:c>
    </x:row>
    <x:row r="194" ht="38" customHeight="1">
      <x:c r="A194" s="20" t="str">
        <x:v>弥罗</x:v>
      </x:c>
      <x:c r="B194" s="20" t="str">
        <x:v>H04｜再嚼一遍</x:v>
      </x:c>
      <x:c r="C194" s="20" t="str">
        <x:v>[H04-3]</x:v>
      </x:c>
      <x:c r="D194" s="20" t="str">
        <x:v>小球速度</x:v>
      </x:c>
      <x:c r="E194" s="20" t="str">
        <x:v>米/秒</x:v>
      </x:c>
      <x:c r="F194" s="56" t="n">
        <x:v>16</x:v>
      </x:c>
      <x:c r="G194" s="20" t="str">
        <x:v>食质球，分别追踪[H04-2]米内的敌人，以[H04-3]米/秒飞行；每颗命中后在半径[H04-4]米内造成[H04-5]</x:v>
      </x:c>
    </x:row>
    <x:row r="195" ht="38" customHeight="1">
      <x:c r="A195" s="20" t="str">
        <x:v>弥罗</x:v>
      </x:c>
      <x:c r="B195" s="20" t="str">
        <x:v>H04｜再嚼一遍</x:v>
      </x:c>
      <x:c r="C195" s="20" t="str">
        <x:v>[H04-4]</x:v>
      </x:c>
      <x:c r="D195" s="20" t="str">
        <x:v>小球爆炸半径</x:v>
      </x:c>
      <x:c r="E195" s="20" t="str">
        <x:v>米</x:v>
      </x:c>
      <x:c r="F195" s="58" t="n">
        <x:v>1.8</x:v>
      </x:c>
      <x:c r="G195" s="20" t="str">
        <x:v>以[H04-3]米/秒飞行；每颗命中后在半径[H04-4]米内造成[H04-5]+[H04-6]%AP普通伤害。</x:v>
      </x:c>
    </x:row>
    <x:row r="196" ht="38" customHeight="1">
      <x:c r="A196" s="20" t="str">
        <x:v>弥罗</x:v>
      </x:c>
      <x:c r="B196" s="20" t="str">
        <x:v>H04｜再嚼一遍</x:v>
      </x:c>
      <x:c r="C196" s="20" t="str">
        <x:v>[H04-5]</x:v>
      </x:c>
      <x:c r="D196" s="20" t="str">
        <x:v>小球固定伤害</x:v>
      </x:c>
      <x:c r="E196" s="20" t="str">
        <x:v>点</x:v>
      </x:c>
      <x:c r="F196" s="56" t="n">
        <x:v>40</x:v>
      </x:c>
      <x:c r="G196" s="20" t="str">
        <x:v>飞行；每颗命中后在半径[H04-4]米内造成[H04-5]+[H04-6]%AP普通伤害。</x:v>
      </x:c>
    </x:row>
    <x:row r="197" ht="38" customHeight="1">
      <x:c r="A197" s="20" t="str">
        <x:v>弥罗</x:v>
      </x:c>
      <x:c r="B197" s="20" t="str">
        <x:v>H04｜再嚼一遍</x:v>
      </x:c>
      <x:c r="C197" s="20" t="str">
        <x:v>[H04-6]</x:v>
      </x:c>
      <x:c r="D197" s="20" t="str">
        <x:v>小球AP系数</x:v>
      </x:c>
      <x:c r="E197" s="20" t="str">
        <x:v>%AP</x:v>
      </x:c>
      <x:c r="F197" s="56" t="n">
        <x:v>35</x:v>
      </x:c>
      <x:c r="G197" s="20" t="str">
        <x:v>在半径[H04-4]米内造成[H04-5]+[H04-6]%AP普通伤害。</x:v>
      </x:c>
    </x:row>
    <x:row r="198" ht="38" customHeight="1">
      <x:c r="A198" s="64" t="str">
        <x:v>弥罗</x:v>
      </x:c>
      <x:c r="B198" s="64" t="str">
        <x:v>H05｜胃里有海</x:v>
      </x:c>
      <x:c r="C198" s="64" t="str">
        <x:v>[H05-1]</x:v>
      </x:c>
      <x:c r="D198" s="64" t="str">
        <x:v>命中人数要求</x:v>
      </x:c>
      <x:c r="E198" s="20" t="str">
        <x:v>名</x:v>
      </x:c>
      <x:c r="F198" s="56" t="n">
        <x:v>5</x:v>
      </x:c>
      <x:c r="G198" s="20" t="str">
        <x:v>「胃海翻腾」每圈命中至少[H05-1]名敌人时，使本次技能下一圈半径提高[H05-2]%、伤害提高[H</x:v>
      </x:c>
    </x:row>
    <x:row r="199" ht="38" customHeight="1">
      <x:c r="A199" s="20" t="str">
        <x:v>弥罗</x:v>
      </x:c>
      <x:c r="B199" s="20" t="str">
        <x:v>H05｜胃里有海</x:v>
      </x:c>
      <x:c r="C199" s="20" t="str">
        <x:v>[H05-2]</x:v>
      </x:c>
      <x:c r="D199" s="20" t="str">
        <x:v>下一圈半径增幅</x:v>
      </x:c>
      <x:c r="E199" s="20" t="str">
        <x:v>%</x:v>
      </x:c>
      <x:c r="F199" s="56" t="n">
        <x:v>15</x:v>
      </x:c>
      <x:c r="G199" s="20" t="str">
        <x:v>05-1]名敌人时，使本次技能下一圈半径提高[H05-2]%、伤害提高[H05-3]%。</x:v>
      </x:c>
    </x:row>
    <x:row r="200" ht="38" customHeight="1">
      <x:c r="A200" s="20" t="str">
        <x:v>弥罗</x:v>
      </x:c>
      <x:c r="B200" s="20" t="str">
        <x:v>H05｜胃里有海</x:v>
      </x:c>
      <x:c r="C200" s="20" t="str">
        <x:v>[H05-3]</x:v>
      </x:c>
      <x:c r="D200" s="20" t="str">
        <x:v>下一圈伤害增幅</x:v>
      </x:c>
      <x:c r="E200" s="20" t="str">
        <x:v>%</x:v>
      </x:c>
      <x:c r="F200" s="56" t="n">
        <x:v>30</x:v>
      </x:c>
      <x:c r="G200" s="20" t="str">
        <x:v>技能下一圈半径提高[H05-2]%、伤害提高[H05-3]%。</x:v>
      </x:c>
    </x:row>
    <x:row r="201" ht="38" customHeight="1">
      <x:c r="A201" s="64" t="str">
        <x:v>弥罗</x:v>
      </x:c>
      <x:c r="B201" s="64" t="str">
        <x:v>H06｜饿</x:v>
      </x:c>
      <x:c r="C201" s="64" t="str">
        <x:v>[H06-1]</x:v>
      </x:c>
      <x:c r="D201" s="64" t="str">
        <x:v>未命中下一圈半径增幅</x:v>
      </x:c>
      <x:c r="E201" s="20" t="str">
        <x:v>%</x:v>
      </x:c>
      <x:c r="F201" s="56" t="n">
        <x:v>35</x:v>
      </x:c>
      <x:c r="G201" s="20" t="str">
        <x:v>某圈没有命中敌人时，使本次技能下一圈半径提高[H06-1]%、伤害提高[H06-2]%。</x:v>
      </x:c>
    </x:row>
    <x:row r="202" ht="38" customHeight="1">
      <x:c r="A202" s="20" t="str">
        <x:v>弥罗</x:v>
      </x:c>
      <x:c r="B202" s="20" t="str">
        <x:v>H06｜饿</x:v>
      </x:c>
      <x:c r="C202" s="20" t="str">
        <x:v>[H06-2]</x:v>
      </x:c>
      <x:c r="D202" s="20" t="str">
        <x:v>未命中下一圈伤害增幅</x:v>
      </x:c>
      <x:c r="E202" s="20" t="str">
        <x:v>%</x:v>
      </x:c>
      <x:c r="F202" s="56" t="n">
        <x:v>65</x:v>
      </x:c>
      <x:c r="G202" s="20" t="str">
        <x:v>技能下一圈半径提高[H06-1]%、伤害提高[H06-2]%。</x:v>
      </x:c>
    </x:row>
    <x:row r="203" ht="38" customHeight="1">
      <x:c r="A203" s="64" t="str">
        <x:v>弥罗</x:v>
      </x:c>
      <x:c r="B203" s="64" t="str">
        <x:v>H07｜假肚子真能吃</x:v>
      </x:c>
      <x:c r="C203" s="64" t="str">
        <x:v>[H07-1]</x:v>
      </x:c>
      <x:c r="D203" s="64" t="str">
        <x:v>诱饵承伤触发阈值</x:v>
      </x:c>
      <x:c r="E203" s="20" t="str">
        <x:v>%</x:v>
      </x:c>
      <x:c r="F203" s="56" t="n">
        <x:v>5</x:v>
      </x:c>
      <x:c r="G203" s="20" t="str">
        <x:v>「蜕腹」的诱饵每承受相当于弥罗最大生命[H07-1]%的伤害，有[H07-2]%概率为弥罗生成[H07-3]格食质；</x:v>
      </x:c>
    </x:row>
    <x:row r="204" ht="38" customHeight="1">
      <x:c r="A204" s="20" t="str">
        <x:v>弥罗</x:v>
      </x:c>
      <x:c r="B204" s="20" t="str">
        <x:v>H07｜假肚子真能吃</x:v>
      </x:c>
      <x:c r="C204" s="20" t="str">
        <x:v>[H07-2]</x:v>
      </x:c>
      <x:c r="D204" s="20" t="str">
        <x:v>食质生成概率</x:v>
      </x:c>
      <x:c r="E204" s="20" t="str">
        <x:v>%</x:v>
      </x:c>
      <x:c r="F204" s="56" t="n">
        <x:v>50</x:v>
      </x:c>
      <x:c r="G204" s="20" t="str">
        <x:v>相当于弥罗最大生命[H07-1]%的伤害，有[H07-2]%概率为弥罗生成[H07-3]格食质；单次诱饵最多生成[H07-</x:v>
      </x:c>
    </x:row>
    <x:row r="205" ht="38" customHeight="1">
      <x:c r="A205" s="20" t="str">
        <x:v>弥罗</x:v>
      </x:c>
      <x:c r="B205" s="20" t="str">
        <x:v>H07｜假肚子真能吃</x:v>
      </x:c>
      <x:c r="C205" s="20" t="str">
        <x:v>[H07-3]</x:v>
      </x:c>
      <x:c r="D205" s="20" t="str">
        <x:v>每次食质奖励</x:v>
      </x:c>
      <x:c r="E205" s="20" t="str">
        <x:v>格</x:v>
      </x:c>
      <x:c r="F205" s="56" t="n">
        <x:v>1</x:v>
      </x:c>
      <x:c r="G205" s="20" t="str">
        <x:v>]%的伤害，有[H07-2]%概率为弥罗生成[H07-3]格食质；单次诱饵最多生成[H07-4]格。</x:v>
      </x:c>
    </x:row>
    <x:row r="206" ht="38" customHeight="1">
      <x:c r="A206" s="20" t="str">
        <x:v>弥罗</x:v>
      </x:c>
      <x:c r="B206" s="20" t="str">
        <x:v>H07｜假肚子真能吃</x:v>
      </x:c>
      <x:c r="C206" s="20" t="str">
        <x:v>[H07-4]</x:v>
      </x:c>
      <x:c r="D206" s="20" t="str">
        <x:v>单次诱饵食质上限</x:v>
      </x:c>
      <x:c r="E206" s="20" t="str">
        <x:v>格</x:v>
      </x:c>
      <x:c r="F206" s="56" t="n">
        <x:v>2</x:v>
      </x:c>
      <x:c r="G206" s="20" t="str">
        <x:v>罗生成[H07-3]格食质；单次诱饵最多生成[H07-4]格。</x:v>
      </x:c>
    </x:row>
    <x:row r="207" ht="38" customHeight="1">
      <x:c r="A207" s="64" t="str">
        <x:v>弥罗</x:v>
      </x:c>
      <x:c r="B207" s="64" t="str">
        <x:v>H08｜炸膛</x:v>
      </x:c>
      <x:c r="C207" s="64" t="str">
        <x:v>[H08-1]</x:v>
      </x:c>
      <x:c r="D207" s="64" t="str">
        <x:v>诱饵被打破爆炸倍率</x:v>
      </x:c>
      <x:c r="E207" s="20" t="str">
        <x:v>倍</x:v>
      </x:c>
      <x:c r="F207" s="56" t="n">
        <x:v>2</x:v>
      </x:c>
      <x:c r="G207" s="20" t="str">
        <x:v>膜诱饵被敌人提前打破时，终爆伤害变为原效果的[H08-1]倍。</x:v>
      </x:c>
    </x:row>
    <x:row r="208" ht="38" customHeight="1">
      <x:c r="A208" s="64" t="str">
        <x:v>弥罗</x:v>
      </x:c>
      <x:c r="B208" s="64" t="str">
        <x:v>H09｜什么都能吃</x:v>
      </x:c>
      <x:c r="C208" s="64" t="str">
        <x:v>[H09-1]</x:v>
      </x:c>
      <x:c r="D208" s="64" t="str">
        <x:v>可吞敌人生命阈值</x:v>
      </x:c>
      <x:c r="E208" s="20" t="str">
        <x:v>%</x:v>
      </x:c>
      <x:c r="F208" s="56" t="n">
        <x:v>10</x:v>
      </x:c>
      <x:c r="G208" s="20" t="str">
        <x:v>「吞害」额外吞掉吞害区域内生命低于最大生命[H09-1]%的普通敌人；每成功吞掉敌方投射物或普通敌人，额外恢复[H09-</x:v>
      </x:c>
    </x:row>
    <x:row r="209" ht="38" customHeight="1">
      <x:c r="A209" s="20" t="str">
        <x:v>弥罗</x:v>
      </x:c>
      <x:c r="B209" s="20" t="str">
        <x:v>H09｜什么都能吃</x:v>
      </x:c>
      <x:c r="C209" s="20" t="str">
        <x:v>[H09-2]</x:v>
      </x:c>
      <x:c r="D209" s="20" t="str">
        <x:v>每次吞食最大生命恢复</x:v>
      </x:c>
      <x:c r="E209" s="20" t="str">
        <x:v>%</x:v>
      </x:c>
      <x:c r="F209" s="58" t="n">
        <x:v>0.5</x:v>
      </x:c>
      <x:c r="G209" s="20" t="str">
        <x:v>人；每成功吞掉敌方投射物或普通敌人，额外恢复[H09-2]%最大生命值。</x:v>
      </x:c>
    </x:row>
    <x:row r="210" ht="38" customHeight="1">
      <x:c r="A210" s="64" t="str">
        <x:v>弥罗</x:v>
      </x:c>
      <x:c r="B210" s="64" t="str">
        <x:v>H10｜原路奉还</x:v>
      </x:c>
      <x:c r="C210" s="64" t="str">
        <x:v>[H10-1]</x:v>
      </x:c>
      <x:c r="D210" s="64" t="str">
        <x:v>每吞弹追加固定伤害</x:v>
      </x:c>
      <x:c r="E210" s="20" t="str">
        <x:v>点</x:v>
      </x:c>
      <x:c r="F210" s="56" t="n">
        <x:v>12</x:v>
      </x:c>
      <x:c r="G210" s="20" t="str">
        <x:v>吞害」每吞入一枚投射物，使结束冲击波额外造成[H10-1]+[H10-2]%AP普通伤害，最多计入[H10-3]枚。</x:v>
      </x:c>
    </x:row>
    <x:row r="211" ht="38" customHeight="1">
      <x:c r="A211" s="20" t="str">
        <x:v>弥罗</x:v>
      </x:c>
      <x:c r="B211" s="20" t="str">
        <x:v>H10｜原路奉还</x:v>
      </x:c>
      <x:c r="C211" s="20" t="str">
        <x:v>[H10-2]</x:v>
      </x:c>
      <x:c r="D211" s="20" t="str">
        <x:v>每吞弹追加AP系数</x:v>
      </x:c>
      <x:c r="E211" s="20" t="str">
        <x:v>%AP</x:v>
      </x:c>
      <x:c r="F211" s="56" t="n">
        <x:v>10</x:v>
      </x:c>
      <x:c r="G211" s="20" t="str">
        <x:v>投射物，使结束冲击波额外造成[H10-1]+[H10-2]%AP普通伤害，最多计入[H10-3]枚。</x:v>
      </x:c>
    </x:row>
    <x:row r="212" ht="38" customHeight="1">
      <x:c r="A212" s="20" t="str">
        <x:v>弥罗</x:v>
      </x:c>
      <x:c r="B212" s="20" t="str">
        <x:v>H10｜原路奉还</x:v>
      </x:c>
      <x:c r="C212" s="20" t="str">
        <x:v>[H10-3]</x:v>
      </x:c>
      <x:c r="D212" s="20" t="str">
        <x:v>最多计入投射物数</x:v>
      </x:c>
      <x:c r="E212" s="20" t="str">
        <x:v>枚</x:v>
      </x:c>
      <x:c r="F212" s="56" t="n">
        <x:v>10</x:v>
      </x:c>
      <x:c r="G212" s="20" t="str">
        <x:v>1]+[H10-2]%AP普通伤害，最多计入[H10-3]枚。</x:v>
      </x:c>
    </x:row>
    <x:row r="213" ht="38" customHeight="1">
      <x:c r="A213" s="64" t="str">
        <x:v>弥罗</x:v>
      </x:c>
      <x:c r="B213" s="64" t="str">
        <x:v>H11｜细嚼慢咽</x:v>
      </x:c>
      <x:c r="C213" s="64" t="str">
        <x:v>[H11-1]</x:v>
      </x:c>
      <x:c r="D213" s="64" t="str">
        <x:v>持续消化总时长</x:v>
      </x:c>
      <x:c r="E213" s="20" t="str">
        <x:v>秒</x:v>
      </x:c>
      <x:c r="F213" s="56" t="n">
        <x:v>5</x:v>
      </x:c>
      <x:c r="G213" s="20" t="str">
        <x:v>「消化」改为持续[H11-1]秒、每隔[H11-2]秒消耗一格食质，不超过当前可消耗上限；总治</x:v>
      </x:c>
    </x:row>
    <x:row r="214" ht="38" customHeight="1">
      <x:c r="A214" s="20" t="str">
        <x:v>弥罗</x:v>
      </x:c>
      <x:c r="B214" s="20" t="str">
        <x:v>H11｜细嚼慢咽</x:v>
      </x:c>
      <x:c r="C214" s="20" t="str">
        <x:v>[H11-2]</x:v>
      </x:c>
      <x:c r="D214" s="20" t="str">
        <x:v>逐格消耗间隔</x:v>
      </x:c>
      <x:c r="E214" s="20" t="str">
        <x:v>秒</x:v>
      </x:c>
      <x:c r="F214" s="58" t="n">
        <x:v>0.65</x:v>
      </x:c>
      <x:c r="G214" s="20" t="str">
        <x:v>「消化」改为持续[H11-1]秒、每隔[H11-2]秒消耗一格食质，不超过当前可消耗上限；总治疗效率提高[H11-3</x:v>
      </x:c>
    </x:row>
    <x:row r="215" ht="38" customHeight="1">
      <x:c r="A215" s="20" t="str">
        <x:v>弥罗</x:v>
      </x:c>
      <x:c r="B215" s="20" t="str">
        <x:v>H11｜细嚼慢咽</x:v>
      </x:c>
      <x:c r="C215" s="20" t="str">
        <x:v>[H11-3]</x:v>
      </x:c>
      <x:c r="D215" s="20" t="str">
        <x:v>总治疗效率提高</x:v>
      </x:c>
      <x:c r="E215" s="20" t="str">
        <x:v>%</x:v>
      </x:c>
      <x:c r="F215" s="56" t="n">
        <x:v>35</x:v>
      </x:c>
      <x:c r="G215" s="20" t="str">
        <x:v>格食质，不超过当前可消耗上限；总治疗效率提高[H11-3]%，期间可以正常战斗。</x:v>
      </x:c>
    </x:row>
    <x:row r="216" ht="38" customHeight="1">
      <x:c r="A216" s="64" t="str">
        <x:v>弥罗</x:v>
      </x:c>
      <x:c r="B216" s="64" t="str">
        <x:v>H12｜更多消化</x:v>
      </x:c>
      <x:c r="C216" s="64" t="str">
        <x:v>[H12-1]</x:v>
      </x:c>
      <x:c r="D216" s="64" t="str">
        <x:v>消化全部食质治疗提高</x:v>
      </x:c>
      <x:c r="E216" s="20" t="str">
        <x:v>%</x:v>
      </x:c>
      <x:c r="F216" s="56" t="n">
        <x:v>25</x:v>
      </x:c>
      <x:c r="G216" s="20" t="str">
        <x:v>「消化」可消耗全部持有食质，治疗量提高[H12-1]%。</x:v>
      </x:c>
    </x:row>
    <x:row r="217" ht="38" customHeight="1">
      <x:c r="A217" s="64" t="str">
        <x:v>弥罗</x:v>
      </x:c>
      <x:c r="B217" s="64" t="str">
        <x:v>H13｜百无禁忌</x:v>
      </x:c>
      <x:c r="C217" s="64" t="str">
        <x:v>[H13-1]</x:v>
      </x:c>
      <x:c r="D217" s="64" t="str">
        <x:v>暴食期间每格食质恢复最大生命</x:v>
      </x:c>
      <x:c r="E217" s="20" t="str">
        <x:v>%</x:v>
      </x:c>
      <x:c r="F217" s="58" t="n">
        <x:v>1.5</x:v>
      </x:c>
      <x:c r="G217" s="20" t="str">
        <x:v>「暴食天灾」期间获得新食质时，改为每格恢复[H13-1]%最大生命值。</x:v>
      </x:c>
    </x:row>
    <x:row r="218" ht="38" customHeight="1">
      <x:c r="A218" s="64" t="str">
        <x:v>弥罗</x:v>
      </x:c>
      <x:c r="B218" s="64" t="str">
        <x:v>H14｜饕餮无底</x:v>
      </x:c>
      <x:c r="C218" s="64" t="str">
        <x:v>—</x:v>
      </x:c>
      <x:c r="D218" s="64" t="str">
        <x:v>纯机制，无独立参数</x:v>
      </x:c>
      <x:c r="E218" s="20" t="str">
        <x:v>—</x:v>
      </x:c>
      <x:c r="F218" s="26"/>
      <x:c r="G218" s="20" t="str">
        <x:v>「暴食天灾」结束时，将食质恢复至当前上限。</x:v>
      </x:c>
    </x:row>
    <x:row r="219" ht="38" customHeight="1">
      <x:c r="A219" s="64" t="str">
        <x:v>弥罗</x:v>
      </x:c>
      <x:c r="B219" s="64" t="str">
        <x:v>H15｜肚里乾坤</x:v>
      </x:c>
      <x:c r="C219" s="64" t="str">
        <x:v>[H15-1]</x:v>
      </x:c>
      <x:c r="D219" s="64" t="str">
        <x:v>额外吞入上限</x:v>
      </x:c>
      <x:c r="E219" s="20" t="str">
        <x:v>名</x:v>
      </x:c>
      <x:c r="F219" s="56" t="n">
        <x:v>15</x:v>
      </x:c>
      <x:c r="G219" s="20" t="str">
        <x:v>「吞天」的普通敌人吞入上限增加[H15-1]名；每吞入一名普通敌人，使终爆半径增加[H15-2]米，最多增加</x:v>
      </x:c>
    </x:row>
    <x:row r="220" ht="38" customHeight="1">
      <x:c r="A220" s="20" t="str">
        <x:v>弥罗</x:v>
      </x:c>
      <x:c r="B220" s="20" t="str">
        <x:v>H15｜肚里乾坤</x:v>
      </x:c>
      <x:c r="C220" s="20" t="str">
        <x:v>[H15-2]</x:v>
      </x:c>
      <x:c r="D220" s="20" t="str">
        <x:v>每敌增加爆炸半径</x:v>
      </x:c>
      <x:c r="E220" s="20" t="str">
        <x:v>米</x:v>
      </x:c>
      <x:c r="F220" s="58" t="n">
        <x:v>0.12</x:v>
      </x:c>
      <x:c r="G220" s="20" t="str">
        <x:v>-1]名；每吞入一名普通敌人，使终爆半径增加[H15-2]米，最多增加[H15-3]米。</x:v>
      </x:c>
    </x:row>
    <x:row r="221" ht="38" customHeight="1">
      <x:c r="A221" s="20" t="str">
        <x:v>弥罗</x:v>
      </x:c>
      <x:c r="B221" s="20" t="str">
        <x:v>H15｜肚里乾坤</x:v>
      </x:c>
      <x:c r="C221" s="20" t="str">
        <x:v>[H15-3]</x:v>
      </x:c>
      <x:c r="D221" s="20" t="str">
        <x:v>爆炸半径最大增加</x:v>
      </x:c>
      <x:c r="E221" s="20" t="str">
        <x:v>米</x:v>
      </x:c>
      <x:c r="F221" s="56" t="n">
        <x:v>3</x:v>
      </x:c>
      <x:c r="G221" s="20" t="str">
        <x:v>人，使终爆半径增加[H15-2]米，最多增加[H15-3]米。</x:v>
      </x:c>
    </x:row>
    <x:row r="222" ht="38" customHeight="1">
      <x:c r="A222" s="64" t="str">
        <x:v>弥罗</x:v>
      </x:c>
      <x:c r="B222" s="64" t="str">
        <x:v>H16｜吃不下也得吃</x:v>
      </x:c>
      <x:c r="C222" s="64" t="str">
        <x:v>[H16-1]</x:v>
      </x:c>
      <x:c r="D222" s="64" t="str">
        <x:v>单Boss连续命中时间单位</x:v>
      </x:c>
      <x:c r="E222" s="20" t="str">
        <x:v>秒</x:v>
      </x:c>
      <x:c r="F222" s="56" t="n">
        <x:v>1</x:v>
      </x:c>
      <x:c r="G222" s="20" t="str">
        <x:v>吞天」面对单一Boss时，持续阶段每完整命中[H16-1]秒，使终爆对该Boss的最终伤害提高[H16-2]%，最多叠加[</x:v>
      </x:c>
    </x:row>
    <x:row r="223" ht="38" customHeight="1">
      <x:c r="A223" s="20" t="str">
        <x:v>弥罗</x:v>
      </x:c>
      <x:c r="B223" s="20" t="str">
        <x:v>H16｜吃不下也得吃</x:v>
      </x:c>
      <x:c r="C223" s="20" t="str">
        <x:v>[H16-2]</x:v>
      </x:c>
      <x:c r="D223" s="20" t="str">
        <x:v>每层终爆提高</x:v>
      </x:c>
      <x:c r="E223" s="20" t="str">
        <x:v>%</x:v>
      </x:c>
      <x:c r="F223" s="56" t="n">
        <x:v>20</x:v>
      </x:c>
      <x:c r="G223" s="20" t="str">
        <x:v>6-1]秒，使终爆对该Boss的最终伤害提高[H16-2]%，最多叠加[H16-3]层。</x:v>
      </x:c>
    </x:row>
    <x:row r="224" ht="38" customHeight="1">
      <x:c r="A224" s="20" t="str">
        <x:v>弥罗</x:v>
      </x:c>
      <x:c r="B224" s="20" t="str">
        <x:v>H16｜吃不下也得吃</x:v>
      </x:c>
      <x:c r="C224" s="20" t="str">
        <x:v>[H16-3]</x:v>
      </x:c>
      <x:c r="D224" s="20" t="str">
        <x:v>最多层数</x:v>
      </x:c>
      <x:c r="E224" s="20" t="str">
        <x:v>层</x:v>
      </x:c>
      <x:c r="F224" s="56" t="n">
        <x:v>4</x:v>
      </x:c>
      <x:c r="G224" s="20" t="str">
        <x:v>ss的最终伤害提高[H16-2]%，最多叠加[H16-3]层。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d6929ea46ba458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6" hidden="0" customWidth="1"/>
    <x:col min="3" max="3" width="34" hidden="0" customWidth="1"/>
    <x:col min="4" max="4" width="10" hidden="0" customWidth="1"/>
    <x:col min="5" max="5" width="13" hidden="0" customWidth="1"/>
    <x:col min="6" max="6" width="15" hidden="0" customWidth="1"/>
    <x:col min="7" max="7" width="64" hidden="0" customWidth="1"/>
  </x:cols>
  <x:sheetData>
    <x:row r="1" ht="36" customHeight="1">
      <x:c r="A1" s="7" t="str">
        <x:v>通用海克斯｜30项</x:v>
      </x:c>
      <x:c r="B1" s="7"/>
      <x:c r="C1" s="7"/>
      <x:c r="D1" s="7"/>
      <x:c r="E1" s="7"/>
      <x:c r="F1" s="7"/>
      <x:c r="G1" s="7"/>
    </x:row>
    <x:row r="2" ht="30" customHeight="1">
      <x:c r="A2" s="11" t="str">
        <x:v>G01–G23沿用已接受方向；G24–G30沿用上一份机制稿中的补充提案。未加入尸潮反应或超载技能点。</x:v>
      </x:c>
      <x:c r="B2" s="11"/>
      <x:c r="C2" s="11"/>
      <x:c r="D2" s="11"/>
      <x:c r="E2" s="11"/>
      <x:c r="F2" s="11"/>
      <x:c r="G2" s="11"/>
    </x:row>
    <x:row r="3" ht="24" customHeight="1">
      <x:c r="A3" s="3"/>
      <x:c r="B3" s="3"/>
      <x:c r="C3" s="3"/>
      <x:c r="D3" s="3"/>
      <x:c r="E3" s="3"/>
      <x:c r="F3" s="3"/>
      <x:c r="G3" s="3"/>
    </x:row>
    <x:row r="4" ht="28" customHeight="1">
      <x:c r="A4" s="16" t="str">
        <x:v>海克斯</x:v>
      </x:c>
      <x:c r="B4" s="16" t="str">
        <x:v>占位编号</x:v>
      </x:c>
      <x:c r="C4" s="16" t="str">
        <x:v>数值项</x:v>
      </x:c>
      <x:c r="D4" s="16" t="str">
        <x:v>单位</x:v>
      </x:c>
      <x:c r="E4" s="16" t="str">
        <x:v>数值</x:v>
      </x:c>
      <x:c r="F4" s="16" t="str">
        <x:v>状态</x:v>
      </x:c>
      <x:c r="G4" s="16" t="str">
        <x:v>对应描述</x:v>
      </x:c>
    </x:row>
    <x:row r="5" ht="62" customHeight="1">
      <x:c r="A5" s="64" t="str">
        <x:v>G01｜法术暴击</x:v>
      </x:c>
      <x:c r="B5" s="64" t="str">
        <x:v>—</x:v>
      </x:c>
      <x:c r="C5" s="64" t="str">
        <x:v>纯机制，无独立参数</x:v>
      </x:c>
      <x:c r="D5" s="64" t="str">
        <x:v>—</x:v>
      </x:c>
      <x:c r="E5" s="26"/>
      <x:c r="F5" s="20" t="str">
        <x:v>已接受方向</x:v>
      </x:c>
      <x:c r="G5" s="20" t="str">
        <x:v>主动技能造成的普通伤害可以按自身暴击率与暴击伤害规则暴击。真实伤害不因此获得暴击；已拥有技能暴击资格的伤害不会重复判定。</x:v>
      </x:c>
    </x:row>
    <x:row r="6" ht="38" customHeight="1">
      <x:c r="A6" s="64" t="str">
        <x:v>G02｜舍远求近</x:v>
      </x:c>
      <x:c r="B6" s="64" t="str">
        <x:v>[G02-1]</x:v>
      </x:c>
      <x:c r="C6" s="64" t="str">
        <x:v>远程转近战普攻距离</x:v>
      </x:c>
      <x:c r="D6" s="64" t="str">
        <x:v>米</x:v>
      </x:c>
      <x:c r="E6" s="58" t="n">
        <x:v>2.8</x:v>
      </x:c>
      <x:c r="F6" s="20" t="str">
        <x:v>已接受方向</x:v>
      </x:c>
      <x:c r="G6" s="20" t="str">
        <x:v>远程英雄普通攻击距离改为[G02-1]米，攻击力提高[G02-2]%、最大生命值提高[G02-3]%、</x:v>
      </x:c>
    </x:row>
    <x:row r="7" ht="38" customHeight="1">
      <x:c r="A7" s="20" t="str">
        <x:v>G02｜舍远求近</x:v>
      </x:c>
      <x:c r="B7" s="20" t="str">
        <x:v>[G02-2]</x:v>
      </x:c>
      <x:c r="C7" s="20" t="str">
        <x:v>攻击力加成</x:v>
      </x:c>
      <x:c r="D7" s="20" t="str">
        <x:v>%</x:v>
      </x:c>
      <x:c r="E7" s="56" t="n">
        <x:v>35</x:v>
      </x:c>
      <x:c r="F7" s="20" t="str">
        <x:v>已接受方向</x:v>
      </x:c>
      <x:c r="G7" s="20" t="str">
        <x:v>普通攻击距离改为[G02-1]米，攻击力提高[G02-2]%、最大生命值提高[G02-3]%、攻击速度提高[G02-4]%</x:v>
      </x:c>
    </x:row>
    <x:row r="8" ht="38" customHeight="1">
      <x:c r="A8" s="20" t="str">
        <x:v>G02｜舍远求近</x:v>
      </x:c>
      <x:c r="B8" s="20" t="str">
        <x:v>[G02-3]</x:v>
      </x:c>
      <x:c r="C8" s="20" t="str">
        <x:v>最大生命加成</x:v>
      </x:c>
      <x:c r="D8" s="20" t="str">
        <x:v>%</x:v>
      </x:c>
      <x:c r="E8" s="56" t="n">
        <x:v>25</x:v>
      </x:c>
      <x:c r="F8" s="20" t="str">
        <x:v>已接受方向</x:v>
      </x:c>
      <x:c r="G8" s="20" t="str">
        <x:v>，攻击力提高[G02-2]%、最大生命值提高[G02-3]%、攻击速度提高[G02-4]%，并获得[G02-5]%吸血。仅</x:v>
      </x:c>
    </x:row>
    <x:row r="9" ht="38" customHeight="1">
      <x:c r="A9" s="20" t="str">
        <x:v>G02｜舍远求近</x:v>
      </x:c>
      <x:c r="B9" s="20" t="str">
        <x:v>[G02-4]</x:v>
      </x:c>
      <x:c r="C9" s="20" t="str">
        <x:v>攻击速度加成</x:v>
      </x:c>
      <x:c r="D9" s="20" t="str">
        <x:v>%</x:v>
      </x:c>
      <x:c r="E9" s="56" t="n">
        <x:v>35</x:v>
      </x:c>
      <x:c r="F9" s="20" t="str">
        <x:v>已接受方向</x:v>
      </x:c>
      <x:c r="G9" s="20" t="str">
        <x:v>最大生命值提高[G02-3]%、攻击速度提高[G02-4]%，并获得[G02-5]%吸血。仅远程英雄进入候选池。</x:v>
      </x:c>
    </x:row>
    <x:row r="10" ht="38" customHeight="1">
      <x:c r="A10" s="20" t="str">
        <x:v>G02｜舍远求近</x:v>
      </x:c>
      <x:c r="B10" s="20" t="str">
        <x:v>[G02-5]</x:v>
      </x:c>
      <x:c r="C10" s="20" t="str">
        <x:v>吸血</x:v>
      </x:c>
      <x:c r="D10" s="20" t="str">
        <x:v>%</x:v>
      </x:c>
      <x:c r="E10" s="56" t="n">
        <x:v>12</x:v>
      </x:c>
      <x:c r="F10" s="20" t="str">
        <x:v>已接受方向</x:v>
      </x:c>
      <x:c r="G10" s="20" t="str">
        <x:v>3]%、攻击速度提高[G02-4]%，并获得[G02-5]%吸血。仅远程英雄进入候选池。</x:v>
      </x:c>
    </x:row>
    <x:row r="11" ht="38" customHeight="1">
      <x:c r="A11" s="64" t="str">
        <x:v>G03｜不稳定实验体</x:v>
      </x:c>
      <x:c r="B11" s="64" t="str">
        <x:v>[G03-1]</x:v>
      </x:c>
      <x:c r="C11" s="64" t="str">
        <x:v>巨型形态概率</x:v>
      </x:c>
      <x:c r="D11" s="64" t="str">
        <x:v>%</x:v>
      </x:c>
      <x:c r="E11" s="56" t="n">
        <x:v>50</x:v>
      </x:c>
      <x:c r="F11" s="20" t="str">
        <x:v>已接受方向</x:v>
      </x:c>
      <x:c r="G11" s="20" t="str">
        <x:v>每个战斗房开始时，按[G03-1]%概率进入巨型形态，否则进入微型形态，本场保持不变。巨型形态的模</x:v>
      </x:c>
    </x:row>
    <x:row r="12" ht="38" customHeight="1">
      <x:c r="A12" s="20" t="str">
        <x:v>G03｜不稳定实验体</x:v>
      </x:c>
      <x:c r="B12" s="20" t="str">
        <x:v>[G03-2]</x:v>
      </x:c>
      <x:c r="C12" s="20" t="str">
        <x:v>巨型模型倍率</x:v>
      </x:c>
      <x:c r="D12" s="20" t="str">
        <x:v>倍</x:v>
      </x:c>
      <x:c r="E12" s="58" t="n">
        <x:v>1.35</x:v>
      </x:c>
      <x:c r="F12" s="20" t="str">
        <x:v>已接受方向</x:v>
      </x:c>
      <x:c r="G12" s="20" t="str">
        <x:v>型形态，本场保持不变。巨型形态的模型尺寸变为[G03-2]倍，最大生命提高[G03-3]%，最终伤害提高[G03-4]%；</x:v>
      </x:c>
    </x:row>
    <x:row r="13" ht="38" customHeight="1">
      <x:c r="A13" s="20" t="str">
        <x:v>G03｜不稳定实验体</x:v>
      </x:c>
      <x:c r="B13" s="20" t="str">
        <x:v>[G03-3]</x:v>
      </x:c>
      <x:c r="C13" s="20" t="str">
        <x:v>巨型生命加成</x:v>
      </x:c>
      <x:c r="D13" s="20" t="str">
        <x:v>%</x:v>
      </x:c>
      <x:c r="E13" s="56" t="n">
        <x:v>25</x:v>
      </x:c>
      <x:c r="F13" s="20" t="str">
        <x:v>已接受方向</x:v>
      </x:c>
      <x:c r="G13" s="20" t="str">
        <x:v>的模型尺寸变为[G03-2]倍，最大生命提高[G03-3]%，最终伤害提高[G03-4]%；微型形态的模型尺寸变为[G03</x:v>
      </x:c>
    </x:row>
    <x:row r="14" ht="38" customHeight="1">
      <x:c r="A14" s="20" t="str">
        <x:v>G03｜不稳定实验体</x:v>
      </x:c>
      <x:c r="B14" s="20" t="str">
        <x:v>[G03-4]</x:v>
      </x:c>
      <x:c r="C14" s="20" t="str">
        <x:v>巨型最终增伤</x:v>
      </x:c>
      <x:c r="D14" s="20" t="str">
        <x:v>%</x:v>
      </x:c>
      <x:c r="E14" s="56" t="n">
        <x:v>18</x:v>
      </x:c>
      <x:c r="F14" s="20" t="str">
        <x:v>已接受方向</x:v>
      </x:c>
      <x:c r="G14" s="20" t="str">
        <x:v>，最大生命提高[G03-3]%，最终伤害提高[G03-4]%；微型形态的模型尺寸变为[G03-5]倍，移动速度提高[G03</x:v>
      </x:c>
    </x:row>
    <x:row r="15" ht="38" customHeight="1">
      <x:c r="A15" s="20" t="str">
        <x:v>G03｜不稳定实验体</x:v>
      </x:c>
      <x:c r="B15" s="20" t="str">
        <x:v>[G03-5]</x:v>
      </x:c>
      <x:c r="C15" s="20" t="str">
        <x:v>微型模型倍率</x:v>
      </x:c>
      <x:c r="D15" s="20" t="str">
        <x:v>倍</x:v>
      </x:c>
      <x:c r="E15" s="58" t="n">
        <x:v>0.75</x:v>
      </x:c>
      <x:c r="F15" s="20" t="str">
        <x:v>已接受方向</x:v>
      </x:c>
      <x:c r="G15" s="20" t="str">
        <x:v>提高[G03-4]%；微型形态的模型尺寸变为[G03-5]倍，移动速度提高[G03-6]%，冷却缩减提高[G03-7]%。</x:v>
      </x:c>
    </x:row>
    <x:row r="16" ht="38" customHeight="1">
      <x:c r="A16" s="20" t="str">
        <x:v>G03｜不稳定实验体</x:v>
      </x:c>
      <x:c r="B16" s="20" t="str">
        <x:v>[G03-6]</x:v>
      </x:c>
      <x:c r="C16" s="20" t="str">
        <x:v>微型移速加成</x:v>
      </x:c>
      <x:c r="D16" s="20" t="str">
        <x:v>%</x:v>
      </x:c>
      <x:c r="E16" s="56" t="n">
        <x:v>25</x:v>
      </x:c>
      <x:c r="F16" s="20" t="str">
        <x:v>已接受方向</x:v>
      </x:c>
      <x:c r="G16" s="20" t="str">
        <x:v>的模型尺寸变为[G03-5]倍，移动速度提高[G03-6]%，冷却缩减提高[G03-7]%。</x:v>
      </x:c>
    </x:row>
    <x:row r="17" ht="38" customHeight="1">
      <x:c r="A17" s="20" t="str">
        <x:v>G03｜不稳定实验体</x:v>
      </x:c>
      <x:c r="B17" s="20" t="str">
        <x:v>[G03-7]</x:v>
      </x:c>
      <x:c r="C17" s="20" t="str">
        <x:v>微型冷却缩减</x:v>
      </x:c>
      <x:c r="D17" s="20" t="str">
        <x:v>%</x:v>
      </x:c>
      <x:c r="E17" s="56" t="n">
        <x:v>18</x:v>
      </x:c>
      <x:c r="F17" s="20" t="str">
        <x:v>已接受方向</x:v>
      </x:c>
      <x:c r="G17" s="20" t="str">
        <x:v>，移动速度提高[G03-6]%，冷却缩减提高[G03-7]%。</x:v>
      </x:c>
    </x:row>
    <x:row r="18" ht="38" customHeight="1">
      <x:c r="A18" s="64" t="str">
        <x:v>G04｜越战越大</x:v>
      </x:c>
      <x:c r="B18" s="64" t="str">
        <x:v>[G04-1]</x:v>
      </x:c>
      <x:c r="C18" s="64" t="str">
        <x:v>每层所需普通怪参与击杀</x:v>
      </x:c>
      <x:c r="D18" s="64" t="str">
        <x:v>名</x:v>
      </x:c>
      <x:c r="E18" s="56" t="n">
        <x:v>12</x:v>
      </x:c>
      <x:c r="F18" s="20" t="str">
        <x:v>已接受方向</x:v>
      </x:c>
      <x:c r="G18" s="20" t="str">
        <x:v>每参与击杀[G04-1]名普通敌人，获得一层成长；每层提高[G04-2]%最大生命值与[</x:v>
      </x:c>
    </x:row>
    <x:row r="19" ht="38" customHeight="1">
      <x:c r="A19" s="20" t="str">
        <x:v>G04｜越战越大</x:v>
      </x:c>
      <x:c r="B19" s="20" t="str">
        <x:v>[G04-2]</x:v>
      </x:c>
      <x:c r="C19" s="20" t="str">
        <x:v>每层生命提高</x:v>
      </x:c>
      <x:c r="D19" s="20" t="str">
        <x:v>%</x:v>
      </x:c>
      <x:c r="E19" s="56" t="n">
        <x:v>1</x:v>
      </x:c>
      <x:c r="F19" s="20" t="str">
        <x:v>已接受方向</x:v>
      </x:c>
      <x:c r="G19" s="20" t="str">
        <x:v>04-1]名普通敌人，获得一层成长；每层提高[G04-2]%最大生命值与[G04-3]%模型尺寸，最多[G04-4]层。真</x:v>
      </x:c>
    </x:row>
    <x:row r="20" ht="38" customHeight="1">
      <x:c r="A20" s="20" t="str">
        <x:v>G04｜越战越大</x:v>
      </x:c>
      <x:c r="B20" s="20" t="str">
        <x:v>[G04-3]</x:v>
      </x:c>
      <x:c r="C20" s="20" t="str">
        <x:v>每层模型尺寸提高</x:v>
      </x:c>
      <x:c r="D20" s="20" t="str">
        <x:v>%</x:v>
      </x:c>
      <x:c r="E20" s="58" t="n">
        <x:v>0.5</x:v>
      </x:c>
      <x:c r="F20" s="20" t="str">
        <x:v>已接受方向</x:v>
      </x:c>
      <x:c r="G20" s="20" t="str">
        <x:v>层成长；每层提高[G04-2]%最大生命值与[G04-3]%模型尺寸，最多[G04-4]层。真正死亡时失去当前层数的[G0</x:v>
      </x:c>
    </x:row>
    <x:row r="21" ht="38" customHeight="1">
      <x:c r="A21" s="20" t="str">
        <x:v>G04｜越战越大</x:v>
      </x:c>
      <x:c r="B21" s="20" t="str">
        <x:v>[G04-4]</x:v>
      </x:c>
      <x:c r="C21" s="20" t="str">
        <x:v>成长层数上限</x:v>
      </x:c>
      <x:c r="D21" s="20" t="str">
        <x:v>层</x:v>
      </x:c>
      <x:c r="E21" s="56" t="n">
        <x:v>30</x:v>
      </x:c>
      <x:c r="F21" s="20" t="str">
        <x:v>已接受方向</x:v>
      </x:c>
      <x:c r="G21" s="20" t="str">
        <x:v>%最大生命值与[G04-3]%模型尺寸，最多[G04-4]层。真正死亡时失去当前层数的[G04-5]%，被救起的倒地不扣层</x:v>
      </x:c>
    </x:row>
    <x:row r="22" ht="38" customHeight="1">
      <x:c r="A22" s="20" t="str">
        <x:v>G04｜越战越大</x:v>
      </x:c>
      <x:c r="B22" s="20" t="str">
        <x:v>[G04-5]</x:v>
      </x:c>
      <x:c r="C22" s="20" t="str">
        <x:v>死亡层数损失</x:v>
      </x:c>
      <x:c r="D22" s="20" t="str">
        <x:v>%</x:v>
      </x:c>
      <x:c r="E22" s="56" t="n">
        <x:v>50</x:v>
      </x:c>
      <x:c r="F22" s="20" t="str">
        <x:v>已接受方向</x:v>
      </x:c>
      <x:c r="G22" s="20" t="str">
        <x:v>多[G04-4]层。真正死亡时失去当前层数的[G04-5]%，被救起的倒地不扣层。</x:v>
      </x:c>
    </x:row>
    <x:row r="23" ht="38" customHeight="1">
      <x:c r="A23" s="64" t="str">
        <x:v>G05｜无限冷却</x:v>
      </x:c>
      <x:c r="B23" s="64" t="str">
        <x:v>[G05-1]</x:v>
      </x:c>
      <x:c r="C23" s="64" t="str">
        <x:v>初始冷却缩减</x:v>
      </x:c>
      <x:c r="D23" s="64" t="str">
        <x:v>%</x:v>
      </x:c>
      <x:c r="E23" s="56" t="n">
        <x:v>12</x:v>
      </x:c>
      <x:c r="F23" s="20" t="str">
        <x:v>已接受方向</x:v>
      </x:c>
      <x:c r="G23" s="20" t="str">
        <x:v>立即获得[G05-1]%冷却缩减；之后每参与击杀[G05-2]名普通敌人、或击败精英或</x:v>
      </x:c>
    </x:row>
    <x:row r="24" ht="38" customHeight="1">
      <x:c r="A24" s="20" t="str">
        <x:v>G05｜无限冷却</x:v>
      </x:c>
      <x:c r="B24" s="20" t="str">
        <x:v>[G05-2]</x:v>
      </x:c>
      <x:c r="C24" s="20" t="str">
        <x:v>普通怪计数阈值</x:v>
      </x:c>
      <x:c r="D24" s="20" t="str">
        <x:v>名</x:v>
      </x:c>
      <x:c r="E24" s="56" t="n">
        <x:v>40</x:v>
      </x:c>
      <x:c r="F24" s="20" t="str">
        <x:v>已接受方向</x:v>
      </x:c>
      <x:c r="G24" s="20" t="str">
        <x:v>获得[G05-1]%冷却缩减；之后每参与击杀[G05-2]名普通敌人、或击败精英或Boss，分别增加[G05-3]%、[G</x:v>
      </x:c>
    </x:row>
    <x:row r="25" ht="38" customHeight="1">
      <x:c r="A25" s="20" t="str">
        <x:v>G05｜无限冷却</x:v>
      </x:c>
      <x:c r="B25" s="20" t="str">
        <x:v>[G05-3]</x:v>
      </x:c>
      <x:c r="C25" s="20" t="str">
        <x:v>每组普通怪增加冷却缩减</x:v>
      </x:c>
      <x:c r="D25" s="20" t="str">
        <x:v>%</x:v>
      </x:c>
      <x:c r="E25" s="56" t="n">
        <x:v>1</x:v>
      </x:c>
      <x:c r="F25" s="20" t="str">
        <x:v>已接受方向</x:v>
      </x:c>
      <x:c r="G25" s="20" t="str">
        <x:v>]名普通敌人、或击败精英或Boss，分别增加[G05-3]%、[G05-4]%、[G05-5]%冷却缩减。本效果计入全局冷</x:v>
      </x:c>
    </x:row>
    <x:row r="26" ht="38" customHeight="1">
      <x:c r="A26" s="20" t="str">
        <x:v>G05｜无限冷却</x:v>
      </x:c>
      <x:c r="B26" s="20" t="str">
        <x:v>[G05-4]</x:v>
      </x:c>
      <x:c r="C26" s="20" t="str">
        <x:v>每精英增加冷却缩减</x:v>
      </x:c>
      <x:c r="D26" s="20" t="str">
        <x:v>%</x:v>
      </x:c>
      <x:c r="E26" s="56" t="n">
        <x:v>2</x:v>
      </x:c>
      <x:c r="F26" s="20" t="str">
        <x:v>已接受方向</x:v>
      </x:c>
      <x:c r="G26" s="20" t="str">
        <x:v>败精英或Boss，分别增加[G05-3]%、[G05-4]%、[G05-5]%冷却缩减。本效果计入全局冷却缩减上限。</x:v>
      </x:c>
    </x:row>
    <x:row r="27" ht="38" customHeight="1">
      <x:c r="A27" s="20" t="str">
        <x:v>G05｜无限冷却</x:v>
      </x:c>
      <x:c r="B27" s="20" t="str">
        <x:v>[G05-5]</x:v>
      </x:c>
      <x:c r="C27" s="20" t="str">
        <x:v>每Boss增加冷却缩减</x:v>
      </x:c>
      <x:c r="D27" s="20" t="str">
        <x:v>%</x:v>
      </x:c>
      <x:c r="E27" s="56" t="n">
        <x:v>3</x:v>
      </x:c>
      <x:c r="F27" s="20" t="str">
        <x:v>已接受方向</x:v>
      </x:c>
      <x:c r="G27" s="20" t="str">
        <x:v>分别增加[G05-3]%、[G05-4]%、[G05-5]%冷却缩减。本效果计入全局冷却缩减上限。</x:v>
      </x:c>
    </x:row>
    <x:row r="28" ht="38" customHeight="1">
      <x:c r="A28" s="64" t="str">
        <x:v>G06｜极速杀手</x:v>
      </x:c>
      <x:c r="B28" s="64" t="str">
        <x:v>[G06-1]</x:v>
      </x:c>
      <x:c r="C28" s="64" t="str">
        <x:v>速度差计算单位</x:v>
      </x:c>
      <x:c r="D28" s="64" t="str">
        <x:v>米/秒</x:v>
      </x:c>
      <x:c r="E28" s="56" t="n">
        <x:v>1</x:v>
      </x:c>
      <x:c r="F28" s="20" t="str">
        <x:v>已接受方向</x:v>
      </x:c>
      <x:c r="G28" s="20" t="str">
        <x:v>自身移动速度属性高于目标时，每高出[G06-1]米/秒，对其造成的最终伤害提高[G06-2]%，最多提高[G06</x:v>
      </x:c>
    </x:row>
    <x:row r="29" ht="38" customHeight="1">
      <x:c r="A29" s="20" t="str">
        <x:v>G06｜极速杀手</x:v>
      </x:c>
      <x:c r="B29" s="20" t="str">
        <x:v>[G06-2]</x:v>
      </x:c>
      <x:c r="C29" s="20" t="str">
        <x:v>每单位速度差最终增伤</x:v>
      </x:c>
      <x:c r="D29" s="20" t="str">
        <x:v>%</x:v>
      </x:c>
      <x:c r="E29" s="56" t="n">
        <x:v>5</x:v>
      </x:c>
      <x:c r="F29" s="20" t="str">
        <x:v>已接受方向</x:v>
      </x:c>
      <x:c r="G29" s="20" t="str">
        <x:v>[G06-1]米/秒，对其造成的最终伤害提高[G06-2]%，最多提高[G06-3]%。比较双方移动速度属性，不使用当前实</x:v>
      </x:c>
    </x:row>
    <x:row r="30" ht="38" customHeight="1">
      <x:c r="A30" s="20" t="str">
        <x:v>G06｜极速杀手</x:v>
      </x:c>
      <x:c r="B30" s="20" t="str">
        <x:v>[G06-3]</x:v>
      </x:c>
      <x:c r="C30" s="20" t="str">
        <x:v>最终增伤上限</x:v>
      </x:c>
      <x:c r="D30" s="20" t="str">
        <x:v>%</x:v>
      </x:c>
      <x:c r="E30" s="56" t="n">
        <x:v>30</x:v>
      </x:c>
      <x:c r="F30" s="20" t="str">
        <x:v>已接受方向</x:v>
      </x:c>
      <x:c r="G30" s="20" t="str">
        <x:v>造成的最终伤害提高[G06-2]%，最多提高[G06-3]%。比较双方移动速度属性，不使用当前实际位移速度。</x:v>
      </x:c>
    </x:row>
    <x:row r="31" ht="38" customHeight="1">
      <x:c r="A31" s="64" t="str">
        <x:v>G07｜越闪越硬</x:v>
      </x:c>
      <x:c r="B31" s="64" t="str">
        <x:v>[G07-1]</x:v>
      </x:c>
      <x:c r="C31" s="64" t="str">
        <x:v>防护持续</x:v>
      </x:c>
      <x:c r="D31" s="64" t="str">
        <x:v>秒</x:v>
      </x:c>
      <x:c r="E31" s="56" t="n">
        <x:v>6</x:v>
      </x:c>
      <x:c r="F31" s="20" t="str">
        <x:v>已接受方向</x:v>
      </x:c>
      <x:c r="G31" s="20" t="str">
        <x:v>ift或位移技能完成主动位移后，获得一层持续[G07-1]秒的疾驰防护；每层提高[G07-2]点防御力和[G07-3]%韧</x:v>
      </x:c>
    </x:row>
    <x:row r="32" ht="38" customHeight="1">
      <x:c r="A32" s="20" t="str">
        <x:v>G07｜越闪越硬</x:v>
      </x:c>
      <x:c r="B32" s="20" t="str">
        <x:v>[G07-2]</x:v>
      </x:c>
      <x:c r="C32" s="20" t="str">
        <x:v>每层防御力</x:v>
      </x:c>
      <x:c r="D32" s="20" t="str">
        <x:v>点</x:v>
      </x:c>
      <x:c r="E32" s="56" t="n">
        <x:v>8</x:v>
      </x:c>
      <x:c r="F32" s="20" t="str">
        <x:v>已接受方向</x:v>
      </x:c>
      <x:c r="G32" s="20" t="str">
        <x:v>一层持续[G07-1]秒的疾驰防护；每层提高[G07-2]点防御力和[G07-3]%韧性，最多[G07-4]层。一次多段技</x:v>
      </x:c>
    </x:row>
    <x:row r="33" ht="38" customHeight="1">
      <x:c r="A33" s="20" t="str">
        <x:v>G07｜越闪越硬</x:v>
      </x:c>
      <x:c r="B33" s="20" t="str">
        <x:v>[G07-3]</x:v>
      </x:c>
      <x:c r="C33" s="20" t="str">
        <x:v>每层韧性</x:v>
      </x:c>
      <x:c r="D33" s="20" t="str">
        <x:v>%</x:v>
      </x:c>
      <x:c r="E33" s="56" t="n">
        <x:v>8</x:v>
      </x:c>
      <x:c r="F33" s="20" t="str">
        <x:v>已接受方向</x:v>
      </x:c>
      <x:c r="G33" s="20" t="str">
        <x:v>的疾驰防护；每层提高[G07-2]点防御力和[G07-3]%韧性，最多[G07-4]层。一次多段技能最多提供[G07-5]</x:v>
      </x:c>
    </x:row>
    <x:row r="34" ht="38" customHeight="1">
      <x:c r="A34" s="20" t="str">
        <x:v>G07｜越闪越硬</x:v>
      </x:c>
      <x:c r="B34" s="20" t="str">
        <x:v>[G07-4]</x:v>
      </x:c>
      <x:c r="C34" s="20" t="str">
        <x:v>叠层上限</x:v>
      </x:c>
      <x:c r="D34" s="20" t="str">
        <x:v>层</x:v>
      </x:c>
      <x:c r="E34" s="56" t="n">
        <x:v>4</x:v>
      </x:c>
      <x:c r="F34" s="20" t="str">
        <x:v>已接受方向</x:v>
      </x:c>
      <x:c r="G34" s="20" t="str">
        <x:v>7-2]点防御力和[G07-3]%韧性，最多[G07-4]层。一次多段技能最多提供[G07-5]层，再次获得时刷新持续时间</x:v>
      </x:c>
    </x:row>
    <x:row r="35" ht="38" customHeight="1">
      <x:c r="A35" s="20" t="str">
        <x:v>G07｜越闪越硬</x:v>
      </x:c>
      <x:c r="B35" s="20" t="str">
        <x:v>[G07-5]</x:v>
      </x:c>
      <x:c r="C35" s="20" t="str">
        <x:v>每个多段技能层数上限</x:v>
      </x:c>
      <x:c r="D35" s="20" t="str">
        <x:v>层</x:v>
      </x:c>
      <x:c r="E35" s="56" t="n">
        <x:v>1</x:v>
      </x:c>
      <x:c r="F35" s="20" t="str">
        <x:v>已接受方向</x:v>
      </x:c>
      <x:c r="G35" s="20" t="str">
        <x:v>，最多[G07-4]层。一次多段技能最多提供[G07-5]层，再次获得时刷新持续时间。</x:v>
      </x:c>
    </x:row>
    <x:row r="36" ht="38" customHeight="1">
      <x:c r="A36" s="64" t="str">
        <x:v>G08｜位移专精</x:v>
      </x:c>
      <x:c r="B36" s="64" t="str">
        <x:v>[G08-1]</x:v>
      </x:c>
      <x:c r="C36" s="64" t="str">
        <x:v>位移非终极技能基础冷却减少</x:v>
      </x:c>
      <x:c r="D36" s="64" t="str">
        <x:v>%</x:v>
      </x:c>
      <x:c r="E36" s="56" t="n">
        <x:v>25</x:v>
      </x:c>
      <x:c r="F36" s="20" t="str">
        <x:v>已接受方向</x:v>
      </x:c>
      <x:c r="G36" s="20" t="str">
        <x:v>有主动位移效果的非终极主动技能，基础冷却缩短[G08-1]%。不影响Shift，也不缩短大招冷却。</x:v>
      </x:c>
    </x:row>
    <x:row r="37" ht="38" customHeight="1">
      <x:c r="A37" s="64" t="str">
        <x:v>G09｜最终形态</x:v>
      </x:c>
      <x:c r="B37" s="64" t="str">
        <x:v>[G09-1]</x:v>
      </x:c>
      <x:c r="C37" s="64" t="str">
        <x:v>最大生命护盾比例</x:v>
      </x:c>
      <x:c r="D37" s="64" t="str">
        <x:v>%</x:v>
      </x:c>
      <x:c r="E37" s="56" t="n">
        <x:v>25</x:v>
      </x:c>
      <x:c r="F37" s="20" t="str">
        <x:v>已接受方向</x:v>
      </x:c>
      <x:c r="G37" s="20" t="str">
        <x:v>大招启动演出结束后，获得[G09-1]%最大生命值的护盾、[G09-2]%吸血与[G09-3]%移动速</x:v>
      </x:c>
    </x:row>
    <x:row r="38" ht="38" customHeight="1">
      <x:c r="A38" s="20" t="str">
        <x:v>G09｜最终形态</x:v>
      </x:c>
      <x:c r="B38" s="20" t="str">
        <x:v>[G09-2]</x:v>
      </x:c>
      <x:c r="C38" s="20" t="str">
        <x:v>吸血</x:v>
      </x:c>
      <x:c r="D38" s="20" t="str">
        <x:v>%</x:v>
      </x:c>
      <x:c r="E38" s="56" t="n">
        <x:v>12</x:v>
      </x:c>
      <x:c r="F38" s="20" t="str">
        <x:v>已接受方向</x:v>
      </x:c>
      <x:c r="G38" s="20" t="str">
        <x:v>束后，获得[G09-1]%最大生命值的护盾、[G09-2]%吸血与[G09-3]%移动速度，持续[G09-4]秒。一次大招</x:v>
      </x:c>
    </x:row>
    <x:row r="39" ht="38" customHeight="1">
      <x:c r="A39" s="20" t="str">
        <x:v>G09｜最终形态</x:v>
      </x:c>
      <x:c r="B39" s="20" t="str">
        <x:v>[G09-3]</x:v>
      </x:c>
      <x:c r="C39" s="20" t="str">
        <x:v>移速</x:v>
      </x:c>
      <x:c r="D39" s="20" t="str">
        <x:v>%</x:v>
      </x:c>
      <x:c r="E39" s="56" t="n">
        <x:v>20</x:v>
      </x:c>
      <x:c r="F39" s="20" t="str">
        <x:v>已接受方向</x:v>
      </x:c>
      <x:c r="G39" s="20" t="str">
        <x:v>]%最大生命值的护盾、[G09-2]%吸血与[G09-3]%移动速度，持续[G09-4]秒。一次大招的多次续放不重复触发。</x:v>
      </x:c>
    </x:row>
    <x:row r="40" ht="38" customHeight="1">
      <x:c r="A40" s="20" t="str">
        <x:v>G09｜最终形态</x:v>
      </x:c>
      <x:c r="B40" s="20" t="str">
        <x:v>[G09-4]</x:v>
      </x:c>
      <x:c r="C40" s="20" t="str">
        <x:v>增益持续</x:v>
      </x:c>
      <x:c r="D40" s="20" t="str">
        <x:v>秒</x:v>
      </x:c>
      <x:c r="E40" s="56" t="n">
        <x:v>10</x:v>
      </x:c>
      <x:c r="F40" s="20" t="str">
        <x:v>已接受方向</x:v>
      </x:c>
      <x:c r="G40" s="20" t="str">
        <x:v>-2]%吸血与[G09-3]%移动速度，持续[G09-4]秒。一次大招的多次续放不重复触发。</x:v>
      </x:c>
    </x:row>
    <x:row r="41" ht="38" customHeight="1">
      <x:c r="A41" s="64" t="str">
        <x:v>G10｜战魂</x:v>
      </x:c>
      <x:c r="B41" s="64" t="str">
        <x:v>[G10-1]</x:v>
      </x:c>
      <x:c r="C41" s="64" t="str">
        <x:v>普通怪计数阈值</x:v>
      </x:c>
      <x:c r="D41" s="64" t="str">
        <x:v>名</x:v>
      </x:c>
      <x:c r="E41" s="56" t="n">
        <x:v>24</x:v>
      </x:c>
      <x:c r="F41" s="20" t="str">
        <x:v>已接受方向</x:v>
      </x:c>
      <x:c r="G41" s="20" t="str">
        <x:v>每参与击杀[G10-1]名普通敌人，或击败精英，在对应敌人死亡位置生成持续[G10-2]</x:v>
      </x:c>
    </x:row>
    <x:row r="42" ht="38" customHeight="1">
      <x:c r="A42" s="20" t="str">
        <x:v>G10｜战魂</x:v>
      </x:c>
      <x:c r="B42" s="20" t="str">
        <x:v>[G10-2]</x:v>
      </x:c>
      <x:c r="C42" s="20" t="str">
        <x:v>战魂存在</x:v>
      </x:c>
      <x:c r="D42" s="20" t="str">
        <x:v>秒</x:v>
      </x:c>
      <x:c r="E42" s="56" t="n">
        <x:v>8</x:v>
      </x:c>
      <x:c r="F42" s="20" t="str">
        <x:v>已接受方向</x:v>
      </x:c>
      <x:c r="G42" s="20" t="str">
        <x:v>敌人，或击败精英，在对应敌人死亡位置生成持续[G10-2]秒的战魂；触碰后重置已学习的非终极主动技能，并获得[G10-3]</x:v>
      </x:c>
    </x:row>
    <x:row r="43" ht="38" customHeight="1">
      <x:c r="A43" s="20" t="str">
        <x:v>G10｜战魂</x:v>
      </x:c>
      <x:c r="B43" s="20" t="str">
        <x:v>[G10-3]</x:v>
      </x:c>
      <x:c r="C43" s="20" t="str">
        <x:v>拾取后移速</x:v>
      </x:c>
      <x:c r="D43" s="20" t="str">
        <x:v>%</x:v>
      </x:c>
      <x:c r="E43" s="56" t="n">
        <x:v>25</x:v>
      </x:c>
      <x:c r="F43" s="20" t="str">
        <x:v>已接受方向</x:v>
      </x:c>
      <x:c r="G43" s="20" t="str">
        <x:v>魂；触碰后重置已学习的非终极主动技能，并获得[G10-3]%移动速度，持续[G10-4]秒。战魂生成间隔不低于[G10-5</x:v>
      </x:c>
    </x:row>
    <x:row r="44" ht="38" customHeight="1">
      <x:c r="A44" s="20" t="str">
        <x:v>G10｜战魂</x:v>
      </x:c>
      <x:c r="B44" s="20" t="str">
        <x:v>[G10-4]</x:v>
      </x:c>
      <x:c r="C44" s="20" t="str">
        <x:v>移速持续</x:v>
      </x:c>
      <x:c r="D44" s="20" t="str">
        <x:v>秒</x:v>
      </x:c>
      <x:c r="E44" s="56" t="n">
        <x:v>3</x:v>
      </x:c>
      <x:c r="F44" s="20" t="str">
        <x:v>已接受方向</x:v>
      </x:c>
      <x:c r="G44" s="20" t="str">
        <x:v>动技能，并获得[G10-3]%移动速度，持续[G10-4]秒。战魂生成间隔不低于[G10-5]秒，拾取半径[G10-6]米</x:v>
      </x:c>
    </x:row>
    <x:row r="45" ht="38" customHeight="1">
      <x:c r="A45" s="20" t="str">
        <x:v>G10｜战魂</x:v>
      </x:c>
      <x:c r="B45" s="20" t="str">
        <x:v>[G10-5]</x:v>
      </x:c>
      <x:c r="C45" s="20" t="str">
        <x:v>生成最短间隔</x:v>
      </x:c>
      <x:c r="D45" s="20" t="str">
        <x:v>秒</x:v>
      </x:c>
      <x:c r="E45" s="56" t="n">
        <x:v>8</x:v>
      </x:c>
      <x:c r="F45" s="20" t="str">
        <x:v>已接受方向</x:v>
      </x:c>
      <x:c r="G45" s="20" t="str">
        <x:v>度，持续[G10-4]秒。战魂生成间隔不低于[G10-5]秒，拾取半径[G10-6]米。</x:v>
      </x:c>
    </x:row>
    <x:row r="46" ht="38" customHeight="1">
      <x:c r="A46" s="20" t="str">
        <x:v>G10｜战魂</x:v>
      </x:c>
      <x:c r="B46" s="20" t="str">
        <x:v>[G10-6]</x:v>
      </x:c>
      <x:c r="C46" s="20" t="str">
        <x:v>拾取半径</x:v>
      </x:c>
      <x:c r="D46" s="20" t="str">
        <x:v>米</x:v>
      </x:c>
      <x:c r="E46" s="58" t="n">
        <x:v>1.2</x:v>
      </x:c>
      <x:c r="F46" s="20" t="str">
        <x:v>已接受方向</x:v>
      </x:c>
      <x:c r="G46" s="20" t="str">
        <x:v>战魂生成间隔不低于[G10-5]秒，拾取半径[G10-6]米。</x:v>
      </x:c>
    </x:row>
    <x:row r="47" ht="38" customHeight="1">
      <x:c r="A47" s="64" t="str">
        <x:v>G11｜飞出去！</x:v>
      </x:c>
      <x:c r="B47" s="64" t="str">
        <x:v>[G11-1]</x:v>
      </x:c>
      <x:c r="C47" s="64" t="str">
        <x:v>处决生命阈值</x:v>
      </x:c>
      <x:c r="D47" s="64" t="str">
        <x:v>%</x:v>
      </x:c>
      <x:c r="E47" s="56" t="n">
        <x:v>10</x:v>
      </x:c>
      <x:c r="F47" s="20" t="str">
        <x:v>已接受方向</x:v>
      </x:c>
      <x:c r="G47" s="20" t="str">
        <x:v>直接伤害命中生命低于最大生命[G11-1]%的普通敌人时，将其处决并沿攻击方向发射为尸体炮弹。炮弹以[G1</x:v>
      </x:c>
    </x:row>
    <x:row r="48" ht="38" customHeight="1">
      <x:c r="A48" s="20" t="str">
        <x:v>G11｜飞出去！</x:v>
      </x:c>
      <x:c r="B48" s="20" t="str">
        <x:v>[G11-2]</x:v>
      </x:c>
      <x:c r="C48" s="20" t="str">
        <x:v>尸体炮弹速度</x:v>
      </x:c>
      <x:c r="D48" s="20" t="str">
        <x:v>米/秒</x:v>
      </x:c>
      <x:c r="E48" s="56" t="n">
        <x:v>18</x:v>
      </x:c>
      <x:c r="F48" s="20" t="str">
        <x:v>已接受方向</x:v>
      </x:c>
      <x:c r="G48" s="20" t="str">
        <x:v>，将其处决并沿攻击方向发射为尸体炮弹。炮弹以[G11-2]米/秒飞行，最大距离[G11-3]米；撞到敌人、墙壁或到达终点时</x:v>
      </x:c>
    </x:row>
    <x:row r="49" ht="38" customHeight="1">
      <x:c r="A49" s="20" t="str">
        <x:v>G11｜飞出去！</x:v>
      </x:c>
      <x:c r="B49" s="20" t="str">
        <x:v>[G11-3]</x:v>
      </x:c>
      <x:c r="C49" s="20" t="str">
        <x:v>尸体炮弹距离</x:v>
      </x:c>
      <x:c r="D49" s="20" t="str">
        <x:v>米</x:v>
      </x:c>
      <x:c r="E49" s="56" t="n">
        <x:v>10</x:v>
      </x:c>
      <x:c r="F49" s="20" t="str">
        <x:v>已接受方向</x:v>
      </x:c>
      <x:c r="G49" s="20" t="str">
        <x:v>弹。炮弹以[G11-2]米/秒飞行，最大距离[G11-3]米；撞到敌人、墙壁或到达终点时，在半径[G11-4]米内造成[G</x:v>
      </x:c>
    </x:row>
    <x:row r="50" ht="38" customHeight="1">
      <x:c r="A50" s="20" t="str">
        <x:v>G11｜飞出去！</x:v>
      </x:c>
      <x:c r="B50" s="20" t="str">
        <x:v>[G11-4]</x:v>
      </x:c>
      <x:c r="C50" s="20" t="str">
        <x:v>爆炸半径</x:v>
      </x:c>
      <x:c r="D50" s="20" t="str">
        <x:v>米</x:v>
      </x:c>
      <x:c r="E50" s="58" t="n">
        <x:v>2.8</x:v>
      </x:c>
      <x:c r="F50" s="20" t="str">
        <x:v>已接受方向</x:v>
      </x:c>
      <x:c r="G50" s="20" t="str">
        <x:v>-3]米；撞到敌人、墙壁或到达终点时，在半径[G11-4]米内造成[G11-5]+[G11-6]%AD+[G11-7]%A</x:v>
      </x:c>
    </x:row>
    <x:row r="51" ht="38" customHeight="1">
      <x:c r="A51" s="20" t="str">
        <x:v>G11｜飞出去！</x:v>
      </x:c>
      <x:c r="B51" s="20" t="str">
        <x:v>[G11-5]</x:v>
      </x:c>
      <x:c r="C51" s="20" t="str">
        <x:v>爆炸固定伤害</x:v>
      </x:c>
      <x:c r="D51" s="20" t="str">
        <x:v>点</x:v>
      </x:c>
      <x:c r="E51" s="56" t="n">
        <x:v>50</x:v>
      </x:c>
      <x:c r="F51" s="20" t="str">
        <x:v>已接受方向</x:v>
      </x:c>
      <x:c r="G51" s="20" t="str">
        <x:v>壁或到达终点时，在半径[G11-4]米内造成[G11-5]+[G11-6]%AD+[G11-7]%AP普通伤害。爆炸命中符</x:v>
      </x:c>
    </x:row>
    <x:row r="52" ht="38" customHeight="1">
      <x:c r="A52" s="20" t="str">
        <x:v>G11｜飞出去！</x:v>
      </x:c>
      <x:c r="B52" s="20" t="str">
        <x:v>[G11-6]</x:v>
      </x:c>
      <x:c r="C52" s="20" t="str">
        <x:v>爆炸AD系数</x:v>
      </x:c>
      <x:c r="D52" s="20" t="str">
        <x:v>%AD</x:v>
      </x:c>
      <x:c r="E52" s="56" t="n">
        <x:v>35</x:v>
      </x:c>
      <x:c r="F52" s="20" t="str">
        <x:v>已接受方向</x:v>
      </x:c>
      <x:c r="G52" s="20" t="str">
        <x:v>在半径[G11-4]米内造成[G11-5]+[G11-6]%AD+[G11-7]%AP普通伤害。爆炸命中符合处决条件的普通</x:v>
      </x:c>
    </x:row>
    <x:row r="53" ht="38" customHeight="1">
      <x:c r="A53" s="20" t="str">
        <x:v>G11｜飞出去！</x:v>
      </x:c>
      <x:c r="B53" s="20" t="str">
        <x:v>[G11-7]</x:v>
      </x:c>
      <x:c r="C53" s="20" t="str">
        <x:v>爆炸AP系数</x:v>
      </x:c>
      <x:c r="D53" s="20" t="str">
        <x:v>%AP</x:v>
      </x:c>
      <x:c r="E53" s="56" t="n">
        <x:v>30</x:v>
      </x:c>
      <x:c r="F53" s="20" t="str">
        <x:v>已接受方向</x:v>
      </x:c>
      <x:c r="G53" s="20" t="str">
        <x:v>内造成[G11-5]+[G11-6]%AD+[G11-7]%AP普通伤害。爆炸命中符合处决条件的普通敌人可以继续连锁，同一</x:v>
      </x:c>
    </x:row>
    <x:row r="54" ht="38" customHeight="1">
      <x:c r="A54" s="20" t="str">
        <x:v>G11｜飞出去！</x:v>
      </x:c>
      <x:c r="B54" s="20" t="str">
        <x:v>[G11-8]</x:v>
      </x:c>
      <x:c r="C54" s="20" t="str">
        <x:v>单链触发上限</x:v>
      </x:c>
      <x:c r="D54" s="20" t="str">
        <x:v>次</x:v>
      </x:c>
      <x:c r="E54" s="56" t="n">
        <x:v>6</x:v>
      </x:c>
      <x:c r="F54" s="20" t="str">
        <x:v>已接受方向</x:v>
      </x:c>
      <x:c r="G54" s="20" t="str">
        <x:v>决条件的普通敌人可以继续连锁，同一链最多触发[G11-8]次。精英与Boss不被处决或发射，但可以受到爆炸伤害。</x:v>
      </x:c>
    </x:row>
    <x:row r="55" ht="38" customHeight="1">
      <x:c r="A55" s="64" t="str">
        <x:v>G12｜超远程火力支援</x:v>
      </x:c>
      <x:c r="B55" s="64" t="str">
        <x:v>[G12-1]</x:v>
      </x:c>
      <x:c r="C55" s="64" t="str">
        <x:v>远距离阈值</x:v>
      </x:c>
      <x:c r="D55" s="64" t="str">
        <x:v>米</x:v>
      </x:c>
      <x:c r="E55" s="56" t="n">
        <x:v>8</x:v>
      </x:c>
      <x:c r="F55" s="20" t="str">
        <x:v>已接受方向</x:v>
      </x:c>
      <x:c r="G55" s="20" t="str">
        <x:v>任务：从距离至少[G12-1]米处，用主动技能命中敌人累计[G12-2]次。完成后，满足距离要</x:v>
      </x:c>
    </x:row>
    <x:row r="56" ht="38" customHeight="1">
      <x:c r="A56" s="20" t="str">
        <x:v>G12｜超远程火力支援</x:v>
      </x:c>
      <x:c r="B56" s="20" t="str">
        <x:v>[G12-2]</x:v>
      </x:c>
      <x:c r="C56" s="20" t="str">
        <x:v>远距离命中任务次数</x:v>
      </x:c>
      <x:c r="D56" s="20" t="str">
        <x:v>次</x:v>
      </x:c>
      <x:c r="E56" s="56" t="n">
        <x:v>40</x:v>
      </x:c>
      <x:c r="F56" s="20" t="str">
        <x:v>已接受方向</x:v>
      </x:c>
      <x:c r="G56" s="20" t="str">
        <x:v>少[G12-1]米处，用主动技能命中敌人累计[G12-2]次。完成后，满足距离要求的技能命中会在目标位置呼叫轰炸；延迟[G</x:v>
      </x:c>
    </x:row>
    <x:row r="57" ht="38" customHeight="1">
      <x:c r="A57" s="20" t="str">
        <x:v>G12｜超远程火力支援</x:v>
      </x:c>
      <x:c r="B57" s="20" t="str">
        <x:v>[G12-3]</x:v>
      </x:c>
      <x:c r="C57" s="20" t="str">
        <x:v>轰炸延迟</x:v>
      </x:c>
      <x:c r="D57" s="20" t="str">
        <x:v>秒</x:v>
      </x:c>
      <x:c r="E57" s="58" t="n">
        <x:v>0.45</x:v>
      </x:c>
      <x:c r="F57" s="20" t="str">
        <x:v>已接受方向</x:v>
      </x:c>
      <x:c r="G57" s="20" t="str">
        <x:v>距离要求的技能命中会在目标位置呼叫轰炸；延迟[G12-3]秒后，对半径[G12-4]米内敌人造成[G12-5]+[G12-</x:v>
      </x:c>
    </x:row>
    <x:row r="58" ht="38" customHeight="1">
      <x:c r="A58" s="20" t="str">
        <x:v>G12｜超远程火力支援</x:v>
      </x:c>
      <x:c r="B58" s="20" t="str">
        <x:v>[G12-4]</x:v>
      </x:c>
      <x:c r="C58" s="20" t="str">
        <x:v>轰炸半径</x:v>
      </x:c>
      <x:c r="D58" s="20" t="str">
        <x:v>米</x:v>
      </x:c>
      <x:c r="E58" s="58" t="n">
        <x:v>3.2</x:v>
      </x:c>
      <x:c r="F58" s="20" t="str">
        <x:v>已接受方向</x:v>
      </x:c>
      <x:c r="G58" s="20" t="str">
        <x:v>位置呼叫轰炸；延迟[G12-3]秒后，对半径[G12-4]米内敌人造成[G12-5]+[G12-6]%AD+[G12-7]</x:v>
      </x:c>
    </x:row>
    <x:row r="59" ht="38" customHeight="1">
      <x:c r="A59" s="20" t="str">
        <x:v>G12｜超远程火力支援</x:v>
      </x:c>
      <x:c r="B59" s="20" t="str">
        <x:v>[G12-5]</x:v>
      </x:c>
      <x:c r="C59" s="20" t="str">
        <x:v>轰炸固定伤害</x:v>
      </x:c>
      <x:c r="D59" s="20" t="str">
        <x:v>点</x:v>
      </x:c>
      <x:c r="E59" s="56" t="n">
        <x:v>75</x:v>
      </x:c>
      <x:c r="F59" s="20" t="str">
        <x:v>已接受方向</x:v>
      </x:c>
      <x:c r="G59" s="20" t="str">
        <x:v>-3]秒后，对半径[G12-4]米内敌人造成[G12-5]+[G12-6]%AD+[G12-7]%AP普通伤害。每[G12</x:v>
      </x:c>
    </x:row>
    <x:row r="60" ht="38" customHeight="1">
      <x:c r="A60" s="20" t="str">
        <x:v>G12｜超远程火力支援</x:v>
      </x:c>
      <x:c r="B60" s="20" t="str">
        <x:v>[G12-6]</x:v>
      </x:c>
      <x:c r="C60" s="20" t="str">
        <x:v>轰炸AD系数</x:v>
      </x:c>
      <x:c r="D60" s="20" t="str">
        <x:v>%AD</x:v>
      </x:c>
      <x:c r="E60" s="56" t="n">
        <x:v>45</x:v>
      </x:c>
      <x:c r="F60" s="20" t="str">
        <x:v>已接受方向</x:v>
      </x:c>
      <x:c r="G60" s="20" t="str">
        <x:v>径[G12-4]米内敌人造成[G12-5]+[G12-6]%AD+[G12-7]%AP普通伤害。每[G12-8]秒最多触发</x:v>
      </x:c>
    </x:row>
    <x:row r="61" ht="38" customHeight="1">
      <x:c r="A61" s="20" t="str">
        <x:v>G12｜超远程火力支援</x:v>
      </x:c>
      <x:c r="B61" s="20" t="str">
        <x:v>[G12-7]</x:v>
      </x:c>
      <x:c r="C61" s="20" t="str">
        <x:v>轰炸AP系数</x:v>
      </x:c>
      <x:c r="D61" s="20" t="str">
        <x:v>%AP</x:v>
      </x:c>
      <x:c r="E61" s="56" t="n">
        <x:v>40</x:v>
      </x:c>
      <x:c r="F61" s="20" t="str">
        <x:v>已接受方向</x:v>
      </x:c>
      <x:c r="G61" s="20" t="str">
        <x:v>人造成[G12-5]+[G12-6]%AD+[G12-7]%AP普通伤害。每[G12-8]秒最多触发一次。</x:v>
      </x:c>
    </x:row>
    <x:row r="62" ht="38" customHeight="1">
      <x:c r="A62" s="20" t="str">
        <x:v>G12｜超远程火力支援</x:v>
      </x:c>
      <x:c r="B62" s="20" t="str">
        <x:v>[G12-8]</x:v>
      </x:c>
      <x:c r="C62" s="20" t="str">
        <x:v>触发内置冷却</x:v>
      </x:c>
      <x:c r="D62" s="20" t="str">
        <x:v>秒</x:v>
      </x:c>
      <x:c r="E62" s="58" t="n">
        <x:v>2.5</x:v>
      </x:c>
      <x:c r="F62" s="20" t="str">
        <x:v>已接受方向</x:v>
      </x:c>
      <x:c r="G62" s="20" t="str">
        <x:v>6]%AD+[G12-7]%AP普通伤害。每[G12-8]秒最多触发一次。</x:v>
      </x:c>
    </x:row>
    <x:row r="63" ht="38" customHeight="1">
      <x:c r="A63" s="64" t="str">
        <x:v>G13｜救援核心</x:v>
      </x:c>
      <x:c r="B63" s="64" t="str">
        <x:v>[G13-1]</x:v>
      </x:c>
      <x:c r="C63" s="64" t="str">
        <x:v>有效治疗护盾转能比例</x:v>
      </x:c>
      <x:c r="D63" s="64" t="str">
        <x:v>%</x:v>
      </x:c>
      <x:c r="E63" s="56" t="n">
        <x:v>100</x:v>
      </x:c>
      <x:c r="F63" s="20" t="str">
        <x:v>已接受方向</x:v>
      </x:c>
      <x:c r="G63" s="20" t="str">
        <x:v>，以及所提供护盾实际吸收伤害时，按有效数值的[G13-1]%积累救援能量。能量达到自身最大生命值[G13-2]%时消耗全部</x:v>
      </x:c>
    </x:row>
    <x:row r="64" ht="38" customHeight="1">
      <x:c r="A64" s="20" t="str">
        <x:v>G13｜救援核心</x:v>
      </x:c>
      <x:c r="B64" s="20" t="str">
        <x:v>[G13-2]</x:v>
      </x:c>
      <x:c r="C64" s="20" t="str">
        <x:v>充能目标占自身最大生命</x:v>
      </x:c>
      <x:c r="D64" s="20" t="str">
        <x:v>%</x:v>
      </x:c>
      <x:c r="E64" s="56" t="n">
        <x:v>45</x:v>
      </x:c>
      <x:c r="F64" s="20" t="str">
        <x:v>已接受方向</x:v>
      </x:c>
      <x:c r="G64" s="20" t="str">
        <x:v>-1]%积累救援能量。能量达到自身最大生命值[G13-2]%时消耗全部能量，治疗[G13-3]米内生命比例最低的友方[G1</x:v>
      </x:c>
    </x:row>
    <x:row r="65" ht="38" customHeight="1">
      <x:c r="A65" s="20" t="str">
        <x:v>G13｜救援核心</x:v>
      </x:c>
      <x:c r="B65" s="20" t="str">
        <x:v>[G13-3]</x:v>
      </x:c>
      <x:c r="C65" s="20" t="str">
        <x:v>救援搜索半径</x:v>
      </x:c>
      <x:c r="D65" s="20" t="str">
        <x:v>米</x:v>
      </x:c>
      <x:c r="E65" s="56" t="n">
        <x:v>18</x:v>
      </x:c>
      <x:c r="F65" s="20" t="str">
        <x:v>已接受方向</x:v>
      </x:c>
      <x:c r="G65" s="20" t="str">
        <x:v>大生命值[G13-2]%时消耗全部能量，治疗[G13-3]米内生命比例最低的友方[G13-4]%该目标最大生命值，并为其半</x:v>
      </x:c>
    </x:row>
    <x:row r="66" ht="38" customHeight="1">
      <x:c r="A66" s="20" t="str">
        <x:v>G13｜救援核心</x:v>
      </x:c>
      <x:c r="B66" s="20" t="str">
        <x:v>[G13-4]</x:v>
      </x:c>
      <x:c r="C66" s="20" t="str">
        <x:v>治疗目标最大生命比例</x:v>
      </x:c>
      <x:c r="D66" s="20" t="str">
        <x:v>%</x:v>
      </x:c>
      <x:c r="E66" s="56" t="n">
        <x:v>12</x:v>
      </x:c>
      <x:c r="F66" s="20" t="str">
        <x:v>已接受方向</x:v>
      </x:c>
      <x:c r="G66" s="20" t="str">
        <x:v>量，治疗[G13-3]米内生命比例最低的友方[G13-4]%该目标最大生命值，并为其半径[G13-5]米内的友方提供相当于</x:v>
      </x:c>
    </x:row>
    <x:row r="67" ht="38" customHeight="1">
      <x:c r="A67" s="20" t="str">
        <x:v>G13｜救援核心</x:v>
      </x:c>
      <x:c r="B67" s="20" t="str">
        <x:v>[G13-5]</x:v>
      </x:c>
      <x:c r="C67" s="20" t="str">
        <x:v>救援群盾半径</x:v>
      </x:c>
      <x:c r="D67" s="20" t="str">
        <x:v>米</x:v>
      </x:c>
      <x:c r="E67" s="58" t="n">
        <x:v>4.5</x:v>
      </x:c>
      <x:c r="F67" s="20" t="str">
        <x:v>已接受方向</x:v>
      </x:c>
      <x:c r="G67" s="20" t="str">
        <x:v>[G13-4]%该目标最大生命值，并为其半径[G13-5]米内的友方提供相当于施法者最大生命[G13-6]%的护盾，持续[</x:v>
      </x:c>
    </x:row>
    <x:row r="68" ht="38" customHeight="1">
      <x:c r="A68" s="20" t="str">
        <x:v>G13｜救援核心</x:v>
      </x:c>
      <x:c r="B68" s="20" t="str">
        <x:v>[G13-6]</x:v>
      </x:c>
      <x:c r="C68" s="20" t="str">
        <x:v>群盾占自身最大生命</x:v>
      </x:c>
      <x:c r="D68" s="20" t="str">
        <x:v>%</x:v>
      </x:c>
      <x:c r="E68" s="56" t="n">
        <x:v>10</x:v>
      </x:c>
      <x:c r="F68" s="20" t="str">
        <x:v>已接受方向</x:v>
      </x:c>
      <x:c r="G68" s="20" t="str">
        <x:v>13-5]米内的友方提供相当于施法者最大生命[G13-6]%的护盾，持续[G13-7]秒。触发内置冷却[G13-8]秒，本</x:v>
      </x:c>
    </x:row>
    <x:row r="69" ht="38" customHeight="1">
      <x:c r="A69" s="20" t="str">
        <x:v>G13｜救援核心</x:v>
      </x:c>
      <x:c r="B69" s="20" t="str">
        <x:v>[G13-7]</x:v>
      </x:c>
      <x:c r="C69" s="20" t="str">
        <x:v>群盾持续</x:v>
      </x:c>
      <x:c r="D69" s="20" t="str">
        <x:v>秒</x:v>
      </x:c>
      <x:c r="E69" s="56" t="n">
        <x:v>4</x:v>
      </x:c>
      <x:c r="F69" s="20" t="str">
        <x:v>已接受方向</x:v>
      </x:c>
      <x:c r="G69" s="20" t="str">
        <x:v>于施法者最大生命[G13-6]%的护盾，持续[G13-7]秒。触发内置冷却[G13-8]秒，本效果不为自身再次充能。</x:v>
      </x:c>
    </x:row>
    <x:row r="70" ht="38" customHeight="1">
      <x:c r="A70" s="20" t="str">
        <x:v>G13｜救援核心</x:v>
      </x:c>
      <x:c r="B70" s="20" t="str">
        <x:v>[G13-8]</x:v>
      </x:c>
      <x:c r="C70" s="20" t="str">
        <x:v>救援内置冷却</x:v>
      </x:c>
      <x:c r="D70" s="20" t="str">
        <x:v>秒</x:v>
      </x:c>
      <x:c r="E70" s="56" t="n">
        <x:v>8</x:v>
      </x:c>
      <x:c r="F70" s="20" t="str">
        <x:v>已接受方向</x:v>
      </x:c>
      <x:c r="G70" s="20" t="str">
        <x:v>%的护盾，持续[G13-7]秒。触发内置冷却[G13-8]秒，本效果不为自身再次充能。</x:v>
      </x:c>
    </x:row>
    <x:row r="71" ht="38" customHeight="1">
      <x:c r="A71" s="64" t="str">
        <x:v>G14｜缩小射线</x:v>
      </x:c>
      <x:c r="B71" s="64" t="str">
        <x:v>[G14-1]</x:v>
      </x:c>
      <x:c r="C71" s="64" t="str">
        <x:v>缩小叠层上限</x:v>
      </x:c>
      <x:c r="D71" s="64" t="str">
        <x:v>层</x:v>
      </x:c>
      <x:c r="E71" s="56" t="n">
        <x:v>4</x:v>
      </x:c>
      <x:c r="F71" s="20" t="str">
        <x:v>已接受方向</x:v>
      </x:c>
      <x:c r="G71" s="20" t="str">
        <x:v>普通攻击命中普通敌人时，施加一层缩小，最多[G14-1]层，持续[G14-2]秒。每层使模型与碰撞尺寸降低[G14-3]</x:v>
      </x:c>
    </x:row>
    <x:row r="72" ht="38" customHeight="1">
      <x:c r="A72" s="20" t="str">
        <x:v>G14｜缩小射线</x:v>
      </x:c>
      <x:c r="B72" s="20" t="str">
        <x:v>[G14-2]</x:v>
      </x:c>
      <x:c r="C72" s="20" t="str">
        <x:v>缩小持续</x:v>
      </x:c>
      <x:c r="D72" s="20" t="str">
        <x:v>秒</x:v>
      </x:c>
      <x:c r="E72" s="56" t="n">
        <x:v>4</x:v>
      </x:c>
      <x:c r="F72" s="20" t="str">
        <x:v>已接受方向</x:v>
      </x:c>
      <x:c r="G72" s="20" t="str">
        <x:v>时，施加一层缩小，最多[G14-1]层，持续[G14-2]秒。每层使模型与碰撞尺寸降低[G14-3]%、造成伤害降低[G1</x:v>
      </x:c>
    </x:row>
    <x:row r="73" ht="38" customHeight="1">
      <x:c r="A73" s="20" t="str">
        <x:v>G14｜缩小射线</x:v>
      </x:c>
      <x:c r="B73" s="20" t="str">
        <x:v>[G14-3]</x:v>
      </x:c>
      <x:c r="C73" s="20" t="str">
        <x:v>每层尺寸降低</x:v>
      </x:c>
      <x:c r="D73" s="20" t="str">
        <x:v>%</x:v>
      </x:c>
      <x:c r="E73" s="56" t="n">
        <x:v>7</x:v>
      </x:c>
      <x:c r="F73" s="20" t="str">
        <x:v>已接受方向</x:v>
      </x:c>
      <x:c r="G73" s="20" t="str">
        <x:v>续[G14-2]秒。每层使模型与碰撞尺寸降低[G14-3]%、造成伤害降低[G14-4]%、抗击退能力降低[G14-5]%</x:v>
      </x:c>
    </x:row>
    <x:row r="74" ht="38" customHeight="1">
      <x:c r="A74" s="20" t="str">
        <x:v>G14｜缩小射线</x:v>
      </x:c>
      <x:c r="B74" s="20" t="str">
        <x:v>[G14-4]</x:v>
      </x:c>
      <x:c r="C74" s="20" t="str">
        <x:v>每层伤害降低</x:v>
      </x:c>
      <x:c r="D74" s="20" t="str">
        <x:v>%</x:v>
      </x:c>
      <x:c r="E74" s="56" t="n">
        <x:v>5</x:v>
      </x:c>
      <x:c r="F74" s="20" t="str">
        <x:v>已接受方向</x:v>
      </x:c>
      <x:c r="G74" s="20" t="str">
        <x:v>与碰撞尺寸降低[G14-3]%、造成伤害降低[G14-4]%、抗击退能力降低[G14-5]%。对精英与Boss不改变尺寸与</x:v>
      </x:c>
    </x:row>
    <x:row r="75" ht="38" customHeight="1">
      <x:c r="A75" s="20" t="str">
        <x:v>G14｜缩小射线</x:v>
      </x:c>
      <x:c r="B75" s="20" t="str">
        <x:v>[G14-5]</x:v>
      </x:c>
      <x:c r="C75" s="20" t="str">
        <x:v>每层击退抗性降低</x:v>
      </x:c>
      <x:c r="D75" s="20" t="str">
        <x:v>%</x:v>
      </x:c>
      <x:c r="E75" s="56" t="n">
        <x:v>10</x:v>
      </x:c>
      <x:c r="F75" s="20" t="str">
        <x:v>已接受方向</x:v>
      </x:c>
      <x:c r="G75" s="20" t="str">
        <x:v>造成伤害降低[G14-4]%、抗击退能力降低[G14-5]%。对精英与Boss不改变尺寸与位移抗性，只降低伤害，最高降低[</x:v>
      </x:c>
    </x:row>
    <x:row r="76" ht="38" customHeight="1">
      <x:c r="A76" s="20" t="str">
        <x:v>G14｜缩小射线</x:v>
      </x:c>
      <x:c r="B76" s="20" t="str">
        <x:v>[G14-6]</x:v>
      </x:c>
      <x:c r="C76" s="20" t="str">
        <x:v>精英Boss最高减伤</x:v>
      </x:c>
      <x:c r="D76" s="20" t="str">
        <x:v>%</x:v>
      </x:c>
      <x:c r="E76" s="56" t="n">
        <x:v>12</x:v>
      </x:c>
      <x:c r="F76" s="20" t="str">
        <x:v>已接受方向</x:v>
      </x:c>
      <x:c r="G76" s="20" t="str">
        <x:v>s不改变尺寸与位移抗性，只降低伤害，最高降低[G14-6]%。</x:v>
      </x:c>
    </x:row>
    <x:row r="77" ht="38" customHeight="1">
      <x:c r="A77" s="64" t="str">
        <x:v>G15｜冷却即速度</x:v>
      </x:c>
      <x:c r="B77" s="64" t="str">
        <x:v>[G15-1]</x:v>
      </x:c>
      <x:c r="C77" s="64" t="str">
        <x:v>冷却缩减计算单位</x:v>
      </x:c>
      <x:c r="D77" s="64" t="str">
        <x:v>%</x:v>
      </x:c>
      <x:c r="E77" s="56" t="n">
        <x:v>5</x:v>
      </x:c>
      <x:c r="F77" s="20" t="str">
        <x:v>已接受方向</x:v>
      </x:c>
      <x:c r="G77" s="20" t="str">
        <x:v>每拥有[G15-1]%冷却缩减，获得[G15-2]%移动速度；只按实际生效、未溢出的</x:v>
      </x:c>
    </x:row>
    <x:row r="78" ht="38" customHeight="1">
      <x:c r="A78" s="20" t="str">
        <x:v>G15｜冷却即速度</x:v>
      </x:c>
      <x:c r="B78" s="20" t="str">
        <x:v>[G15-2]</x:v>
      </x:c>
      <x:c r="C78" s="20" t="str">
        <x:v>每单位对应移速增幅</x:v>
      </x:c>
      <x:c r="D78" s="20" t="str">
        <x:v>%</x:v>
      </x:c>
      <x:c r="E78" s="56" t="n">
        <x:v>2</x:v>
      </x:c>
      <x:c r="F78" s="20" t="str">
        <x:v>已接受方向</x:v>
      </x:c>
      <x:c r="G78" s="20" t="str">
        <x:v>每拥有[G15-1]%冷却缩减，获得[G15-2]%移动速度；只按实际生效、未溢出的冷却缩减计算。</x:v>
      </x:c>
    </x:row>
    <x:row r="79" ht="38" customHeight="1">
      <x:c r="A79" s="64" t="str">
        <x:v>G16｜火力附肢</x:v>
      </x:c>
      <x:c r="B79" s="64" t="str">
        <x:v>[G16-1]</x:v>
      </x:c>
      <x:c r="C79" s="64" t="str">
        <x:v>导弹搜索半径</x:v>
      </x:c>
      <x:c r="D79" s="64" t="str">
        <x:v>米</x:v>
      </x:c>
      <x:c r="E79" s="56" t="n">
        <x:v>12</x:v>
      </x:c>
      <x:c r="F79" s="20" t="str">
        <x:v>已接受方向</x:v>
      </x:c>
      <x:c r="G79" s="20" t="str">
        <x:v>非终极主动技能首次造成有效伤害时，自动向[G16-1]米内敌人发射[G16-2]枚追踪弹；每拥有[G16-3]%暴击率</x:v>
      </x:c>
    </x:row>
    <x:row r="80" ht="38" customHeight="1">
      <x:c r="A80" s="20" t="str">
        <x:v>G16｜火力附肢</x:v>
      </x:c>
      <x:c r="B80" s="20" t="str">
        <x:v>[G16-2]</x:v>
      </x:c>
      <x:c r="C80" s="20" t="str">
        <x:v>基础导弹数</x:v>
      </x:c>
      <x:c r="D80" s="20" t="str">
        <x:v>枚</x:v>
      </x:c>
      <x:c r="E80" s="56" t="n">
        <x:v>2</x:v>
      </x:c>
      <x:c r="F80" s="20" t="str">
        <x:v>已接受方向</x:v>
      </x:c>
      <x:c r="G80" s="20" t="str">
        <x:v>有效伤害时，自动向[G16-1]米内敌人发射[G16-2]枚追踪弹；每拥有[G16-3]%暴击率，额外发射[G16-4]枚</x:v>
      </x:c>
    </x:row>
    <x:row r="81" ht="38" customHeight="1">
      <x:c r="A81" s="20" t="str">
        <x:v>G16｜火力附肢</x:v>
      </x:c>
      <x:c r="B81" s="20" t="str">
        <x:v>[G16-3]</x:v>
      </x:c>
      <x:c r="C81" s="20" t="str">
        <x:v>额外导弹暴击率阈值</x:v>
      </x:c>
      <x:c r="D81" s="20" t="str">
        <x:v>%</x:v>
      </x:c>
      <x:c r="E81" s="56" t="n">
        <x:v>25</x:v>
      </x:c>
      <x:c r="F81" s="20" t="str">
        <x:v>已接受方向</x:v>
      </x:c>
      <x:c r="G81" s="20" t="str">
        <x:v>]米内敌人发射[G16-2]枚追踪弹；每拥有[G16-3]%暴击率，额外发射[G16-4]枚，最多[G16-5]枚。单枚造</x:v>
      </x:c>
    </x:row>
    <x:row r="82" ht="38" customHeight="1">
      <x:c r="A82" s="20" t="str">
        <x:v>G16｜火力附肢</x:v>
      </x:c>
      <x:c r="B82" s="20" t="str">
        <x:v>[G16-4]</x:v>
      </x:c>
      <x:c r="C82" s="20" t="str">
        <x:v>每阈值额外导弹数</x:v>
      </x:c>
      <x:c r="D82" s="20" t="str">
        <x:v>枚</x:v>
      </x:c>
      <x:c r="E82" s="56" t="n">
        <x:v>1</x:v>
      </x:c>
      <x:c r="F82" s="20" t="str">
        <x:v>已接受方向</x:v>
      </x:c>
      <x:c r="G82" s="20" t="str">
        <x:v>踪弹；每拥有[G16-3]%暴击率，额外发射[G16-4]枚，最多[G16-5]枚。单枚造成[G16-6]+[G16-7]</x:v>
      </x:c>
    </x:row>
    <x:row r="83" ht="38" customHeight="1">
      <x:c r="A83" s="20" t="str">
        <x:v>G16｜火力附肢</x:v>
      </x:c>
      <x:c r="B83" s="20" t="str">
        <x:v>[G16-5]</x:v>
      </x:c>
      <x:c r="C83" s="20" t="str">
        <x:v>总导弹上限</x:v>
      </x:c>
      <x:c r="D83" s="20" t="str">
        <x:v>枚</x:v>
      </x:c>
      <x:c r="E83" s="56" t="n">
        <x:v>6</x:v>
      </x:c>
      <x:c r="F83" s="20" t="str">
        <x:v>已接受方向</x:v>
      </x:c>
      <x:c r="G83" s="20" t="str">
        <x:v>3]%暴击率，额外发射[G16-4]枚，最多[G16-5]枚。单枚造成[G16-6]+[G16-7]%AD+[G16-8]</x:v>
      </x:c>
    </x:row>
    <x:row r="84" ht="38" customHeight="1">
      <x:c r="A84" s="20" t="str">
        <x:v>G16｜火力附肢</x:v>
      </x:c>
      <x:c r="B84" s="20" t="str">
        <x:v>[G16-6]</x:v>
      </x:c>
      <x:c r="C84" s="20" t="str">
        <x:v>每弹固定伤害</x:v>
      </x:c>
      <x:c r="D84" s="20" t="str">
        <x:v>点</x:v>
      </x:c>
      <x:c r="E84" s="56" t="n">
        <x:v>18</x:v>
      </x:c>
      <x:c r="F84" s="20" t="str">
        <x:v>已接受方向</x:v>
      </x:c>
      <x:c r="G84" s="20" t="str">
        <x:v>16-4]枚，最多[G16-5]枚。单枚造成[G16-6]+[G16-7]%AD+[G16-8]%AP普通伤害，飞行速度[</x:v>
      </x:c>
    </x:row>
    <x:row r="85" ht="38" customHeight="1">
      <x:c r="A85" s="20" t="str">
        <x:v>G16｜火力附肢</x:v>
      </x:c>
      <x:c r="B85" s="20" t="str">
        <x:v>[G16-7]</x:v>
      </x:c>
      <x:c r="C85" s="20" t="str">
        <x:v>每弹AD系数</x:v>
      </x:c>
      <x:c r="D85" s="20" t="str">
        <x:v>%AD</x:v>
      </x:c>
      <x:c r="E85" s="56" t="n">
        <x:v>12</x:v>
      </x:c>
      <x:c r="F85" s="20" t="str">
        <x:v>已接受方向</x:v>
      </x:c>
      <x:c r="G85" s="20" t="str">
        <x:v>多[G16-5]枚。单枚造成[G16-6]+[G16-7]%AD+[G16-8]%AP普通伤害，飞行速度[G16-9]米/</x:v>
      </x:c>
    </x:row>
    <x:row r="86" ht="38" customHeight="1">
      <x:c r="A86" s="20" t="str">
        <x:v>G16｜火力附肢</x:v>
      </x:c>
      <x:c r="B86" s="20" t="str">
        <x:v>[G16-8]</x:v>
      </x:c>
      <x:c r="C86" s="20" t="str">
        <x:v>每弹AP系数</x:v>
      </x:c>
      <x:c r="D86" s="20" t="str">
        <x:v>%AP</x:v>
      </x:c>
      <x:c r="E86" s="56" t="n">
        <x:v>10</x:v>
      </x:c>
      <x:c r="F86" s="20" t="str">
        <x:v>已接受方向</x:v>
      </x:c>
      <x:c r="G86" s="20" t="str">
        <x:v>枚造成[G16-6]+[G16-7]%AD+[G16-8]%AP普通伤害，飞行速度[G16-9]米/秒。每次完整施法最多触</x:v>
      </x:c>
    </x:row>
    <x:row r="87" ht="38" customHeight="1">
      <x:c r="A87" s="20" t="str">
        <x:v>G16｜火力附肢</x:v>
      </x:c>
      <x:c r="B87" s="20" t="str">
        <x:v>[G16-9]</x:v>
      </x:c>
      <x:c r="C87" s="20" t="str">
        <x:v>导弹速度</x:v>
      </x:c>
      <x:c r="D87" s="20" t="str">
        <x:v>米/秒</x:v>
      </x:c>
      <x:c r="E87" s="56" t="n">
        <x:v>22</x:v>
      </x:c>
      <x:c r="F87" s="20" t="str">
        <x:v>已接受方向</x:v>
      </x:c>
      <x:c r="G87" s="20" t="str">
        <x:v>AD+[G16-8]%AP普通伤害，飞行速度[G16-9]米/秒。每次完整施法最多触发一次，导弹不递归触发本效果。</x:v>
      </x:c>
    </x:row>
    <x:row r="88" ht="38" customHeight="1">
      <x:c r="A88" s="64" t="str">
        <x:v>G17｜修业有成</x:v>
      </x:c>
      <x:c r="B88" s="64" t="str">
        <x:v>[G17-1]</x:v>
      </x:c>
      <x:c r="C88" s="64" t="str">
        <x:v>不同装备任务要求</x:v>
      </x:c>
      <x:c r="D88" s="64" t="str">
        <x:v>点</x:v>
      </x:c>
      <x:c r="E88" s="56" t="n">
        <x:v>3</x:v>
      </x:c>
      <x:c r="F88" s="20" t="str">
        <x:v>已接受方向</x:v>
      </x:c>
      <x:c r="G88" s="20" t="str">
        <x:v>任务：本局累计完成[G17-1]种不同装备的技能点任务。完成后额外获得[G17-2]个本局技能点</x:v>
      </x:c>
    </x:row>
    <x:row r="89" ht="38" customHeight="1">
      <x:c r="A89" s="20" t="str">
        <x:v>G17｜修业有成</x:v>
      </x:c>
      <x:c r="B89" s="20" t="str">
        <x:v>[G17-2]</x:v>
      </x:c>
      <x:c r="C89" s="20" t="str">
        <x:v>奖励技能点</x:v>
      </x:c>
      <x:c r="D89" s="20" t="str">
        <x:v>个</x:v>
      </x:c>
      <x:c r="E89" s="56" t="n">
        <x:v>1</x:v>
      </x:c>
      <x:c r="F89" s="20" t="str">
        <x:v>已接受方向</x:v>
      </x:c>
      <x:c r="G89" s="20" t="str">
        <x:v>-1]种不同装备的技能点任务。完成后额外获得[G17-2]个本局技能点；此前已完成的不同装备任务计入进度，同一任务只统计一</x:v>
      </x:c>
    </x:row>
    <x:row r="90" ht="38" customHeight="1">
      <x:c r="A90" s="64" t="str">
        <x:v>G18｜杀不完</x:v>
      </x:c>
      <x:c r="B90" s="64" t="str">
        <x:v>[G18-1]</x:v>
      </x:c>
      <x:c r="C90" s="64" t="str">
        <x:v>普通怪击杀计数阈值</x:v>
      </x:c>
      <x:c r="D90" s="64" t="str">
        <x:v>名</x:v>
      </x:c>
      <x:c r="E90" s="56" t="n">
        <x:v>18</x:v>
      </x:c>
      <x:c r="F90" s="20" t="str">
        <x:v>已接受方向</x:v>
      </x:c>
      <x:c r="G90" s="20" t="str">
        <x:v>每参与击杀[G18-1]名普通敌人，获得一次重放机会。下一次可重放的非终极主动技能在原施</x:v>
      </x:c>
    </x:row>
    <x:row r="91" ht="38" customHeight="1">
      <x:c r="A91" s="20" t="str">
        <x:v>G18｜杀不完</x:v>
      </x:c>
      <x:c r="B91" s="20" t="str">
        <x:v>[G18-2]</x:v>
      </x:c>
      <x:c r="C91" s="20" t="str">
        <x:v>重放延迟</x:v>
      </x:c>
      <x:c r="D91" s="20" t="str">
        <x:v>秒</x:v>
      </x:c>
      <x:c r="E91" s="58" t="n">
        <x:v>0.3</x:v>
      </x:c>
      <x:c r="F91" s="20" t="str">
        <x:v>已接受方向</x:v>
      </x:c>
      <x:c r="G91" s="20" t="str">
        <x:v>。下一次可重放的非终极主动技能在原施法完成后[G18-2]秒追加释放，重放伤害与治疗为原效果的[G18-3]%，不消耗资源</x:v>
      </x:c>
    </x:row>
    <x:row r="92" ht="38" customHeight="1">
      <x:c r="A92" s="20" t="str">
        <x:v>G18｜杀不完</x:v>
      </x:c>
      <x:c r="B92" s="20" t="str">
        <x:v>[G18-3]</x:v>
      </x:c>
      <x:c r="C92" s="20" t="str">
        <x:v>重放伤害治疗比例</x:v>
      </x:c>
      <x:c r="D92" s="20" t="str">
        <x:v>%</x:v>
      </x:c>
      <x:c r="E92" s="56" t="n">
        <x:v>60</x:v>
      </x:c>
      <x:c r="F92" s="20" t="str">
        <x:v>已接受方向</x:v>
      </x:c>
      <x:c r="G92" s="20" t="str">
        <x:v>8-2]秒追加释放，重放伤害与治疗为原效果的[G18-3]%，不消耗资源、不重新触发施法类海克斯。只重放可独立执行的伤害或</x:v>
      </x:c>
    </x:row>
    <x:row r="93" ht="38" customHeight="1">
      <x:c r="A93" s="64" t="str">
        <x:v>G19｜老板来了</x:v>
      </x:c>
      <x:c r="B93" s="64" t="str">
        <x:v>[G19-1]</x:v>
      </x:c>
      <x:c r="C93" s="64" t="str">
        <x:v>精英Boss房开局攻击力</x:v>
      </x:c>
      <x:c r="D93" s="64" t="str">
        <x:v>%</x:v>
      </x:c>
      <x:c r="E93" s="56" t="n">
        <x:v>25</x:v>
      </x:c>
      <x:c r="F93" s="20" t="str">
        <x:v>已接受方向</x:v>
      </x:c>
      <x:c r="G93" s="20" t="str">
        <x:v>式开始时，重置已学习的非终极主动技能，并获得[G19-1]%攻击力与[G19-2]%法术强度，持续[G19-3]秒。普通战</x:v>
      </x:c>
    </x:row>
    <x:row r="94" ht="38" customHeight="1">
      <x:c r="A94" s="20" t="str">
        <x:v>G19｜老板来了</x:v>
      </x:c>
      <x:c r="B94" s="20" t="str">
        <x:v>[G19-2]</x:v>
      </x:c>
      <x:c r="C94" s="20" t="str">
        <x:v>精英Boss房开局法强</x:v>
      </x:c>
      <x:c r="D94" s="20" t="str">
        <x:v>%</x:v>
      </x:c>
      <x:c r="E94" s="56" t="n">
        <x:v>25</x:v>
      </x:c>
      <x:c r="F94" s="20" t="str">
        <x:v>已接受方向</x:v>
      </x:c>
      <x:c r="G94" s="20" t="str">
        <x:v>终极主动技能，并获得[G19-1]%攻击力与[G19-2]%法术强度，持续[G19-3]秒。普通战斗房不触发。</x:v>
      </x:c>
    </x:row>
    <x:row r="95" ht="38" customHeight="1">
      <x:c r="A95" s="20" t="str">
        <x:v>G19｜老板来了</x:v>
      </x:c>
      <x:c r="B95" s="20" t="str">
        <x:v>[G19-3]</x:v>
      </x:c>
      <x:c r="C95" s="20" t="str">
        <x:v>增益持续</x:v>
      </x:c>
      <x:c r="D95" s="20" t="str">
        <x:v>秒</x:v>
      </x:c>
      <x:c r="E95" s="56" t="n">
        <x:v>12</x:v>
      </x:c>
      <x:c r="F95" s="20" t="str">
        <x:v>已接受方向</x:v>
      </x:c>
      <x:c r="G95" s="20" t="str">
        <x:v>1]%攻击力与[G19-2]%法术强度，持续[G19-3]秒。普通战斗房不触发。</x:v>
      </x:c>
    </x:row>
    <x:row r="96" ht="38" customHeight="1">
      <x:c r="A96" s="64" t="str">
        <x:v>G20｜越来越离谱</x:v>
      </x:c>
      <x:c r="B96" s="64" t="str">
        <x:v>[G20-1]</x:v>
      </x:c>
      <x:c r="C96" s="64" t="str">
        <x:v>每次指定参数相对提高</x:v>
      </x:c>
      <x:c r="D96" s="64" t="str">
        <x:v>%</x:v>
      </x:c>
      <x:c r="E96" s="56" t="n">
        <x:v>20</x:v>
      </x:c>
      <x:c r="F96" s="20" t="str">
        <x:v>已接受方向</x:v>
      </x:c>
      <x:c r="G96" s="20" t="str">
        <x:v>用海克斯中随机选择一个，使其指定强化参数提升[G20-1]%。同一海克斯最多被强化[G20-2]次；不得改变已禁用的规则、</x:v>
      </x:c>
    </x:row>
    <x:row r="97" ht="38" customHeight="1">
      <x:c r="A97" s="20" t="str">
        <x:v>G20｜越来越离谱</x:v>
      </x:c>
      <x:c r="B97" s="20" t="str">
        <x:v>[G20-2]</x:v>
      </x:c>
      <x:c r="C97" s="20" t="str">
        <x:v>同一海克斯强化次数上限</x:v>
      </x:c>
      <x:c r="D97" s="20" t="str">
        <x:v>次</x:v>
      </x:c>
      <x:c r="E97" s="56" t="n">
        <x:v>2</x:v>
      </x:c>
      <x:c r="F97" s="20" t="str">
        <x:v>已接受方向</x:v>
      </x:c>
      <x:c r="G97" s="20" t="str">
        <x:v>数提升[G20-1]%。同一海克斯最多被强化[G20-2]次；不得改变已禁用的规则、触发递归限制或全局属性硬上限。</x:v>
      </x:c>
    </x:row>
    <x:row r="98" ht="38" customHeight="1">
      <x:c r="A98" s="64" t="str">
        <x:v>G21｜超额投资</x:v>
      </x:c>
      <x:c r="B98" s="64" t="str">
        <x:v>[G21-1]</x:v>
      </x:c>
      <x:c r="C98" s="64" t="str">
        <x:v>每次强化所需锻体金币</x:v>
      </x:c>
      <x:c r="D98" s="64" t="str">
        <x:v>金币</x:v>
      </x:c>
      <x:c r="E98" s="56" t="n">
        <x:v>1500</x:v>
      </x:c>
      <x:c r="F98" s="20" t="str">
        <x:v>已接受方向</x:v>
      </x:c>
      <x:c r="G98" s="20" t="str">
        <x:v>装备栏持有满槽成装后，每在锻体中累计消耗[G21-1]金币，随机选择一件当前成装，使其提供的基础属性提高[G21-2]</x:v>
      </x:c>
    </x:row>
    <x:row r="99" ht="38" customHeight="1">
      <x:c r="A99" s="20" t="str">
        <x:v>G21｜超额投资</x:v>
      </x:c>
      <x:c r="B99" s="20" t="str">
        <x:v>[G21-2]</x:v>
      </x:c>
      <x:c r="C99" s="20" t="str">
        <x:v>成装基础属性提高</x:v>
      </x:c>
      <x:c r="D99" s="20" t="str">
        <x:v>%</x:v>
      </x:c>
      <x:c r="E99" s="56" t="n">
        <x:v>8</x:v>
      </x:c>
      <x:c r="F99" s="20" t="str">
        <x:v>已接受方向</x:v>
      </x:c>
      <x:c r="G99" s="20" t="str">
        <x:v>随机选择一件当前成装，使其提供的基础属性提高[G21-2]%，同一件最多强化[G21-3]次。只提高该成装已有的基础属性，</x:v>
      </x:c>
    </x:row>
    <x:row r="100" ht="38" customHeight="1">
      <x:c r="A100" s="20" t="str">
        <x:v>G21｜超额投资</x:v>
      </x:c>
      <x:c r="B100" s="20" t="str">
        <x:v>[G21-3]</x:v>
      </x:c>
      <x:c r="C100" s="20" t="str">
        <x:v>每件成装强化上限</x:v>
      </x:c>
      <x:c r="D100" s="20" t="str">
        <x:v>次</x:v>
      </x:c>
      <x:c r="E100" s="56" t="n">
        <x:v>3</x:v>
      </x:c>
      <x:c r="F100" s="20" t="str">
        <x:v>已接受方向</x:v>
      </x:c>
      <x:c r="G100" s="20" t="str">
        <x:v>基础属性提高[G21-2]%，同一件最多强化[G21-3]次。只提高该成装已有的基础属性，不增加随机词条或新被动。</x:v>
      </x:c>
    </x:row>
    <x:row r="101" ht="38" customHeight="1">
      <x:c r="A101" s="64" t="str">
        <x:v>G22｜以多欺少／以少打多</x:v>
      </x:c>
      <x:c r="B101" s="64" t="str">
        <x:v>[G22-1]</x:v>
      </x:c>
      <x:c r="C101" s="64" t="str">
        <x:v>怪海敌人数阈值</x:v>
      </x:c>
      <x:c r="D101" s="64" t="str">
        <x:v>名</x:v>
      </x:c>
      <x:c r="E101" s="56" t="n">
        <x:v>8</x:v>
      </x:c>
      <x:c r="F101" s="20" t="str">
        <x:v>已接受方向</x:v>
      </x:c>
      <x:c r="G101" s="20" t="str">
        <x:v>场上存活敌人不少于[G22-1]名时，范围伤害提高[G22-2]%，吸血提高[G22-3]%；场</x:v>
      </x:c>
    </x:row>
    <x:row r="102" ht="38" customHeight="1">
      <x:c r="A102" s="20" t="str">
        <x:v>G22｜以多欺少／以少打多</x:v>
      </x:c>
      <x:c r="B102" s="20" t="str">
        <x:v>[G22-2]</x:v>
      </x:c>
      <x:c r="C102" s="20" t="str">
        <x:v>怪海范围伤害提高</x:v>
      </x:c>
      <x:c r="D102" s="20" t="str">
        <x:v>%</x:v>
      </x:c>
      <x:c r="E102" s="56" t="n">
        <x:v>25</x:v>
      </x:c>
      <x:c r="F102" s="20" t="str">
        <x:v>已接受方向</x:v>
      </x:c>
      <x:c r="G102" s="20" t="str">
        <x:v>活敌人不少于[G22-1]名时，范围伤害提高[G22-2]%，吸血提高[G22-3]%；场上仅剩单个精英或Boss时，改为</x:v>
      </x:c>
    </x:row>
    <x:row r="103" ht="38" customHeight="1">
      <x:c r="A103" s="20" t="str">
        <x:v>G22｜以多欺少／以少打多</x:v>
      </x:c>
      <x:c r="B103" s="20" t="str">
        <x:v>[G22-3]</x:v>
      </x:c>
      <x:c r="C103" s="20" t="str">
        <x:v>怪海吸血</x:v>
      </x:c>
      <x:c r="D103" s="20" t="str">
        <x:v>%</x:v>
      </x:c>
      <x:c r="E103" s="56" t="n">
        <x:v>6</x:v>
      </x:c>
      <x:c r="F103" s="20" t="str">
        <x:v>已接受方向</x:v>
      </x:c>
      <x:c r="G103" s="20" t="str">
        <x:v>名时，范围伤害提高[G22-2]%，吸血提高[G22-3]%；场上仅剩单个精英或Boss时，改为对其最终伤害提高[G22-</x:v>
      </x:c>
    </x:row>
    <x:row r="104" ht="38" customHeight="1">
      <x:c r="A104" s="20" t="str">
        <x:v>G22｜以多欺少／以少打多</x:v>
      </x:c>
      <x:c r="B104" s="20" t="str">
        <x:v>[G22-4]</x:v>
      </x:c>
      <x:c r="C104" s="20" t="str">
        <x:v>单Boss最终增伤</x:v>
      </x:c>
      <x:c r="D104" s="20" t="str">
        <x:v>%</x:v>
      </x:c>
      <x:c r="E104" s="56" t="n">
        <x:v>20</x:v>
      </x:c>
      <x:c r="F104" s="20" t="str">
        <x:v>已接受方向</x:v>
      </x:c>
      <x:c r="G104" s="20" t="str">
        <x:v>剩单个精英或Boss时，改为对其最终伤害提高[G22-4]%，并获得[G22-5]点穿甲。两种状态不同时生效。</x:v>
      </x:c>
    </x:row>
    <x:row r="105" ht="38" customHeight="1">
      <x:c r="A105" s="20" t="str">
        <x:v>G22｜以多欺少／以少打多</x:v>
      </x:c>
      <x:c r="B105" s="20" t="str">
        <x:v>[G22-5]</x:v>
      </x:c>
      <x:c r="C105" s="20" t="str">
        <x:v>单Boss穿甲</x:v>
      </x:c>
      <x:c r="D105" s="20" t="str">
        <x:v>点</x:v>
      </x:c>
      <x:c r="E105" s="56" t="n">
        <x:v>20</x:v>
      </x:c>
      <x:c r="F105" s="20" t="str">
        <x:v>已接受方向</x:v>
      </x:c>
      <x:c r="G105" s="20" t="str">
        <x:v>改为对其最终伤害提高[G22-4]%，并获得[G22-5]点穿甲。两种状态不同时生效。</x:v>
      </x:c>
    </x:row>
    <x:row r="106" ht="38" customHeight="1">
      <x:c r="A106" s="64" t="str">
        <x:v>G23｜血瓶轰炸</x:v>
      </x:c>
      <x:c r="B106" s="64" t="str">
        <x:v>[G23-1]</x:v>
      </x:c>
      <x:c r="C106" s="64" t="str">
        <x:v>血瓶爆炸半径</x:v>
      </x:c>
      <x:c r="D106" s="64" t="str">
        <x:v>米</x:v>
      </x:c>
      <x:c r="E106" s="56" t="n">
        <x:v>5</x:v>
      </x:c>
      <x:c r="F106" s="20" t="str">
        <x:v>已接受方向</x:v>
      </x:c>
      <x:c r="G106" s="20" t="str">
        <x:v>战斗中使用血瓶时，在自身半径[G23-1]米内引发冲击，造成[G23-2]+[G23-3]%AD+[G23</x:v>
      </x:c>
    </x:row>
    <x:row r="107" ht="38" customHeight="1">
      <x:c r="A107" s="20" t="str">
        <x:v>G23｜血瓶轰炸</x:v>
      </x:c>
      <x:c r="B107" s="20" t="str">
        <x:v>[G23-2]</x:v>
      </x:c>
      <x:c r="C107" s="20" t="str">
        <x:v>血瓶爆炸固定伤害</x:v>
      </x:c>
      <x:c r="D107" s="20" t="str">
        <x:v>点</x:v>
      </x:c>
      <x:c r="E107" s="56" t="n">
        <x:v>180</x:v>
      </x:c>
      <x:c r="F107" s="20" t="str">
        <x:v>已接受方向</x:v>
      </x:c>
      <x:c r="G107" s="20" t="str">
        <x:v>，在自身半径[G23-1]米内引发冲击，造成[G23-2]+[G23-3]%AD+[G23-4]%AP普通伤害。血瓶仍保留</x:v>
      </x:c>
    </x:row>
    <x:row r="108" ht="38" customHeight="1">
      <x:c r="A108" s="20" t="str">
        <x:v>G23｜血瓶轰炸</x:v>
      </x:c>
      <x:c r="B108" s="20" t="str">
        <x:v>[G23-3]</x:v>
      </x:c>
      <x:c r="C108" s="20" t="str">
        <x:v>血瓶爆炸AD系数</x:v>
      </x:c>
      <x:c r="D108" s="20" t="str">
        <x:v>%AD</x:v>
      </x:c>
      <x:c r="E108" s="56" t="n">
        <x:v>100</x:v>
      </x:c>
      <x:c r="F108" s="20" t="str">
        <x:v>已接受方向</x:v>
      </x:c>
      <x:c r="G108" s="20" t="str">
        <x:v>23-1]米内引发冲击，造成[G23-2]+[G23-3]%AD+[G23-4]%AP普通伤害。血瓶仍保留原治疗效果，非战</x:v>
      </x:c>
    </x:row>
    <x:row r="109" ht="38" customHeight="1">
      <x:c r="A109" s="20" t="str">
        <x:v>G23｜血瓶轰炸</x:v>
      </x:c>
      <x:c r="B109" s="20" t="str">
        <x:v>[G23-4]</x:v>
      </x:c>
      <x:c r="C109" s="20" t="str">
        <x:v>血瓶爆炸AP系数</x:v>
      </x:c>
      <x:c r="D109" s="20" t="str">
        <x:v>%AP</x:v>
      </x:c>
      <x:c r="E109" s="56" t="n">
        <x:v>80</x:v>
      </x:c>
      <x:c r="F109" s="20" t="str">
        <x:v>已接受方向</x:v>
      </x:c>
      <x:c r="G109" s="20" t="str">
        <x:v>，造成[G23-2]+[G23-3]%AD+[G23-4]%AP普通伤害。血瓶仍保留原治疗效果，非战斗状态使用不产生攻击。</x:v>
      </x:c>
    </x:row>
    <x:row r="110" ht="38" customHeight="1">
      <x:c r="A110" s="64" t="str">
        <x:v>G24｜轻装上阵</x:v>
      </x:c>
      <x:c r="B110" s="64" t="str">
        <x:v>[G24-1]</x:v>
      </x:c>
      <x:c r="C110" s="64" t="str">
        <x:v>每空槽最终伤害提高</x:v>
      </x:c>
      <x:c r="D110" s="64" t="str">
        <x:v>%</x:v>
      </x:c>
      <x:c r="E110" s="56" t="n">
        <x:v>8</x:v>
      </x:c>
      <x:c r="F110" s="20" t="str">
        <x:v>补充提案</x:v>
      </x:c>
      <x:c r="G110" s="20" t="str">
        <x:v>每空置一个装备槽，最终伤害提高[G24-1]%，最大生命值提高[G24-2]%；最多计算[G24-3]个空槽</x:v>
      </x:c>
    </x:row>
    <x:row r="111" ht="38" customHeight="1">
      <x:c r="A111" s="20" t="str">
        <x:v>G24｜轻装上阵</x:v>
      </x:c>
      <x:c r="B111" s="20" t="str">
        <x:v>[G24-2]</x:v>
      </x:c>
      <x:c r="C111" s="20" t="str">
        <x:v>每空槽最大生命提高</x:v>
      </x:c>
      <x:c r="D111" s="20" t="str">
        <x:v>%</x:v>
      </x:c>
      <x:c r="E111" s="56" t="n">
        <x:v>6</x:v>
      </x:c>
      <x:c r="F111" s="20" t="str">
        <x:v>补充提案</x:v>
      </x:c>
      <x:c r="G111" s="20" t="str">
        <x:v>最终伤害提高[G24-1]%，最大生命值提高[G24-2]%；最多计算[G24-3]个空槽。装备栏变化后立即重算，锻体不占</x:v>
      </x:c>
    </x:row>
    <x:row r="112" ht="38" customHeight="1">
      <x:c r="A112" s="20" t="str">
        <x:v>G24｜轻装上阵</x:v>
      </x:c>
      <x:c r="B112" s="20" t="str">
        <x:v>[G24-3]</x:v>
      </x:c>
      <x:c r="C112" s="20" t="str">
        <x:v>计入空槽上限</x:v>
      </x:c>
      <x:c r="D112" s="20" t="str">
        <x:v>个</x:v>
      </x:c>
      <x:c r="E112" s="56" t="n">
        <x:v>4</x:v>
      </x:c>
      <x:c r="F112" s="20" t="str">
        <x:v>补充提案</x:v>
      </x:c>
      <x:c r="G112" s="20" t="str">
        <x:v>%，最大生命值提高[G24-2]%；最多计算[G24-3]个空槽。装备栏变化后立即重算，锻体不占用装备槽。</x:v>
      </x:c>
    </x:row>
    <x:row r="113" ht="38" customHeight="1">
      <x:c r="A113" s="64" t="str">
        <x:v>G25｜血铸法器</x:v>
      </x:c>
      <x:c r="B113" s="64" t="str">
        <x:v>[G25-1]</x:v>
      </x:c>
      <x:c r="C113" s="64" t="str">
        <x:v>每次施法消耗当前生命</x:v>
      </x:c>
      <x:c r="D113" s="64" t="str">
        <x:v>%</x:v>
      </x:c>
      <x:c r="E113" s="56" t="n">
        <x:v>3</x:v>
      </x:c>
      <x:c r="F113" s="20" t="str">
        <x:v>补充提案</x:v>
      </x:c>
      <x:c r="G113" s="20" t="str">
        <x:v>非终极主动技能每次完整施法额外消耗[G25-1]%当前生命值，并使该次技能伤害额外增加自身最大生命值的[G25-</x:v>
      </x:c>
    </x:row>
    <x:row r="114" ht="38" customHeight="1">
      <x:c r="A114" s="20" t="str">
        <x:v>G25｜血铸法器</x:v>
      </x:c>
      <x:c r="B114" s="20" t="str">
        <x:v>[G25-2]</x:v>
      </x:c>
      <x:c r="C114" s="20" t="str">
        <x:v>每次施法追加最大生命伤害</x:v>
      </x:c>
      <x:c r="D114" s="20" t="str">
        <x:v>%</x:v>
      </x:c>
      <x:c r="E114" s="56" t="n">
        <x:v>4</x:v>
      </x:c>
      <x:c r="F114" s="20" t="str">
        <x:v>补充提案</x:v>
      </x:c>
      <x:c r="G114" s="20" t="str">
        <x:v>值，并使该次技能伤害额外增加自身最大生命值的[G25-2]%。一次持续或多段技能按完整施法分配追加伤害，不按每次跳伤重复追</x:v>
      </x:c>
    </x:row>
    <x:row r="115" ht="38" customHeight="1">
      <x:c r="A115" s="64" t="str">
        <x:v>G26｜破盾反冲</x:v>
      </x:c>
      <x:c r="B115" s="64" t="str">
        <x:v>[G26-1]</x:v>
      </x:c>
      <x:c r="C115" s="64" t="str">
        <x:v>护盾爆炸半径</x:v>
      </x:c>
      <x:c r="D115" s="64" t="str">
        <x:v>米</x:v>
      </x:c>
      <x:c r="E115" s="58" t="n">
        <x:v>3.5</x:v>
      </x:c>
      <x:c r="F115" s="20" t="str">
        <x:v>补充提案</x:v>
      </x:c>
      <x:c r="G115" s="20" t="str">
        <x:v>方伤害完全打破时，以护盾持有者为中心引发半径[G26-1]米的冲击，造成该护盾初始数值[G26-2]%的普通伤害，最多造成</x:v>
      </x:c>
    </x:row>
    <x:row r="116" ht="38" customHeight="1">
      <x:c r="A116" s="20" t="str">
        <x:v>G26｜破盾反冲</x:v>
      </x:c>
      <x:c r="B116" s="20" t="str">
        <x:v>[G26-2]</x:v>
      </x:c>
      <x:c r="C116" s="20" t="str">
        <x:v>护盾初始值转伤比例</x:v>
      </x:c>
      <x:c r="D116" s="20" t="str">
        <x:v>%</x:v>
      </x:c>
      <x:c r="E116" s="56" t="n">
        <x:v>40</x:v>
      </x:c>
      <x:c r="F116" s="20" t="str">
        <x:v>补充提案</x:v>
      </x:c>
      <x:c r="G116" s="20" t="str">
        <x:v>径[G26-1]米的冲击，造成该护盾初始数值[G26-2]%的普通伤害，最多造成施法者最大生命值[G26-3]%的伤害，并</x:v>
      </x:c>
    </x:row>
    <x:row r="117" ht="38" customHeight="1">
      <x:c r="A117" s="20" t="str">
        <x:v>G26｜破盾反冲</x:v>
      </x:c>
      <x:c r="B117" s="20" t="str">
        <x:v>[G26-3]</x:v>
      </x:c>
      <x:c r="C117" s="20" t="str">
        <x:v>伤害自身最大生命上限</x:v>
      </x:c>
      <x:c r="D117" s="20" t="str">
        <x:v>%</x:v>
      </x:c>
      <x:c r="E117" s="56" t="n">
        <x:v>18</x:v>
      </x:c>
      <x:c r="F117" s="20" t="str">
        <x:v>补充提案</x:v>
      </x:c>
      <x:c r="G117" s="20" t="str">
        <x:v>-2]%的普通伤害，最多造成施法者最大生命值[G26-3]%的伤害，并击退普通敌人[G26-4]米。同一持有者每[G26-</x:v>
      </x:c>
    </x:row>
    <x:row r="118" ht="38" customHeight="1">
      <x:c r="A118" s="20" t="str">
        <x:v>G26｜破盾反冲</x:v>
      </x:c>
      <x:c r="B118" s="20" t="str">
        <x:v>[G26-4]</x:v>
      </x:c>
      <x:c r="C118" s="20" t="str">
        <x:v>击退距离</x:v>
      </x:c>
      <x:c r="D118" s="20" t="str">
        <x:v>米</x:v>
      </x:c>
      <x:c r="E118" s="56" t="n">
        <x:v>2</x:v>
      </x:c>
      <x:c r="F118" s="20" t="str">
        <x:v>补充提案</x:v>
      </x:c>
      <x:c r="G118" s="20" t="str">
        <x:v>生命值[G26-3]%的伤害，并击退普通敌人[G26-4]米。同一持有者每[G26-5]秒最多触发一次；自然到期与替换护盾</x:v>
      </x:c>
    </x:row>
    <x:row r="119" ht="38" customHeight="1">
      <x:c r="A119" s="20" t="str">
        <x:v>G26｜破盾反冲</x:v>
      </x:c>
      <x:c r="B119" s="20" t="str">
        <x:v>[G26-5]</x:v>
      </x:c>
      <x:c r="C119" s="20" t="str">
        <x:v>同目标触发间隔</x:v>
      </x:c>
      <x:c r="D119" s="20" t="str">
        <x:v>秒</x:v>
      </x:c>
      <x:c r="E119" s="56" t="n">
        <x:v>2</x:v>
      </x:c>
      <x:c r="F119" s="20" t="str">
        <x:v>补充提案</x:v>
      </x:c>
      <x:c r="G119" s="20" t="str">
        <x:v>并击退普通敌人[G26-4]米。同一持有者每[G26-5]秒最多触发一次；自然到期与替换护盾不触发。</x:v>
      </x:c>
    </x:row>
    <x:row r="120" ht="38" customHeight="1">
      <x:c r="A120" s="64" t="str">
        <x:v>G27｜组件专家</x:v>
      </x:c>
      <x:c r="B120" s="64" t="str">
        <x:v>[G27-1]</x:v>
      </x:c>
      <x:c r="C120" s="64" t="str">
        <x:v>未成装组件基础属性增幅</x:v>
      </x:c>
      <x:c r="D120" s="64" t="str">
        <x:v>%</x:v>
      </x:c>
      <x:c r="E120" s="56" t="n">
        <x:v>35</x:v>
      </x:c>
      <x:c r="F120" s="20" t="str">
        <x:v>补充提案</x:v>
      </x:c>
      <x:c r="G120" s="20" t="str">
        <x:v>终装备的基础与中级组件，其提供的基础属性提高[G27-1]%。只强化最外层持有的组件，不重复计算其合成树内的材料；合成成装</x:v>
      </x:c>
    </x:row>
    <x:row r="121" ht="38" customHeight="1">
      <x:c r="A121" s="64" t="str">
        <x:v>G28｜断后炮台</x:v>
      </x:c>
      <x:c r="B121" s="64" t="str">
        <x:v>[G28-1]</x:v>
      </x:c>
      <x:c r="C121" s="64" t="str">
        <x:v>炮台持续</x:v>
      </x:c>
      <x:c r="D121" s="64" t="str">
        <x:v>秒</x:v>
      </x:c>
      <x:c r="E121" s="56" t="n">
        <x:v>4</x:v>
      </x:c>
      <x:c r="F121" s="20" t="str">
        <x:v>补充提案</x:v>
      </x:c>
      <x:c r="G121" s="20" t="str">
        <x:v>hift结束时，在冲刺起点留下自动炮台，存在[G28-1]秒，每隔[G28-2]秒向[G28-3]米内最近敌人发射炮弹，造</x:v>
      </x:c>
    </x:row>
    <x:row r="122" ht="38" customHeight="1">
      <x:c r="A122" s="20" t="str">
        <x:v>G28｜断后炮台</x:v>
      </x:c>
      <x:c r="B122" s="20" t="str">
        <x:v>[G28-2]</x:v>
      </x:c>
      <x:c r="C122" s="20" t="str">
        <x:v>炮台攻击间隔</x:v>
      </x:c>
      <x:c r="D122" s="20" t="str">
        <x:v>秒</x:v>
      </x:c>
      <x:c r="E122" s="58" t="n">
        <x:v>0.8</x:v>
      </x:c>
      <x:c r="F122" s="20" t="str">
        <x:v>补充提案</x:v>
      </x:c>
      <x:c r="G122" s="20" t="str">
        <x:v>起点留下自动炮台，存在[G28-1]秒，每隔[G28-2]秒向[G28-3]米内最近敌人发射炮弹，造成[G28-4]+[G</x:v>
      </x:c>
    </x:row>
    <x:row r="123" ht="38" customHeight="1">
      <x:c r="A123" s="20" t="str">
        <x:v>G28｜断后炮台</x:v>
      </x:c>
      <x:c r="B123" s="20" t="str">
        <x:v>[G28-3]</x:v>
      </x:c>
      <x:c r="C123" s="20" t="str">
        <x:v>炮台射程</x:v>
      </x:c>
      <x:c r="D123" s="20" t="str">
        <x:v>米</x:v>
      </x:c>
      <x:c r="E123" s="56" t="n">
        <x:v>9</x:v>
      </x:c>
      <x:c r="F123" s="20" t="str">
        <x:v>补充提案</x:v>
      </x:c>
      <x:c r="G123" s="20" t="str">
        <x:v>存在[G28-1]秒，每隔[G28-2]秒向[G28-3]米内最近敌人发射炮弹，造成[G28-4]+[G28-5]%AD+</x:v>
      </x:c>
    </x:row>
    <x:row r="124" ht="38" customHeight="1">
      <x:c r="A124" s="20" t="str">
        <x:v>G28｜断后炮台</x:v>
      </x:c>
      <x:c r="B124" s="20" t="str">
        <x:v>[G28-4]</x:v>
      </x:c>
      <x:c r="C124" s="20" t="str">
        <x:v>炮弹固定伤害</x:v>
      </x:c>
      <x:c r="D124" s="20" t="str">
        <x:v>点</x:v>
      </x:c>
      <x:c r="E124" s="56" t="n">
        <x:v>12</x:v>
      </x:c>
      <x:c r="F124" s="20" t="str">
        <x:v>补充提案</x:v>
      </x:c>
      <x:c r="G124" s="20" t="str">
        <x:v>秒向[G28-3]米内最近敌人发射炮弹，造成[G28-4]+[G28-5]%AD+[G28-6]%AP普通伤害。最多同时存</x:v>
      </x:c>
    </x:row>
    <x:row r="125" ht="38" customHeight="1">
      <x:c r="A125" s="20" t="str">
        <x:v>G28｜断后炮台</x:v>
      </x:c>
      <x:c r="B125" s="20" t="str">
        <x:v>[G28-5]</x:v>
      </x:c>
      <x:c r="C125" s="20" t="str">
        <x:v>炮弹AD系数</x:v>
      </x:c>
      <x:c r="D125" s="20" t="str">
        <x:v>%AD</x:v>
      </x:c>
      <x:c r="E125" s="56" t="n">
        <x:v>18</x:v>
      </x:c>
      <x:c r="F125" s="20" t="str">
        <x:v>补充提案</x:v>
      </x:c>
      <x:c r="G125" s="20" t="str">
        <x:v>]米内最近敌人发射炮弹，造成[G28-4]+[G28-5]%AD+[G28-6]%AP普通伤害。最多同时存在[G28-7]</x:v>
      </x:c>
    </x:row>
    <x:row r="126" ht="38" customHeight="1">
      <x:c r="A126" s="20" t="str">
        <x:v>G28｜断后炮台</x:v>
      </x:c>
      <x:c r="B126" s="20" t="str">
        <x:v>[G28-6]</x:v>
      </x:c>
      <x:c r="C126" s="20" t="str">
        <x:v>炮弹AP系数</x:v>
      </x:c>
      <x:c r="D126" s="20" t="str">
        <x:v>%AP</x:v>
      </x:c>
      <x:c r="E126" s="56" t="n">
        <x:v>15</x:v>
      </x:c>
      <x:c r="F126" s="20" t="str">
        <x:v>补充提案</x:v>
      </x:c>
      <x:c r="G126" s="20" t="str">
        <x:v>，造成[G28-4]+[G28-5]%AD+[G28-6]%AP普通伤害。最多同时存在[G28-7]座，生成间隔不低于[G</x:v>
      </x:c>
    </x:row>
    <x:row r="127" ht="38" customHeight="1">
      <x:c r="A127" s="20" t="str">
        <x:v>G28｜断后炮台</x:v>
      </x:c>
      <x:c r="B127" s="20" t="str">
        <x:v>[G28-7]</x:v>
      </x:c>
      <x:c r="C127" s="20" t="str">
        <x:v>同时炮台上限</x:v>
      </x:c>
      <x:c r="D127" s="20" t="str">
        <x:v>点</x:v>
      </x:c>
      <x:c r="E127" s="56" t="n">
        <x:v>2</x:v>
      </x:c>
      <x:c r="F127" s="20" t="str">
        <x:v>补充提案</x:v>
      </x:c>
      <x:c r="G127" s="20" t="str">
        <x:v>+[G28-6]%AP普通伤害。最多同时存在[G28-7]座，生成间隔不低于[G28-8]秒；炮台不复制英雄技能，不触发施</x:v>
      </x:c>
    </x:row>
    <x:row r="128" ht="38" customHeight="1">
      <x:c r="A128" s="20" t="str">
        <x:v>G28｜断后炮台</x:v>
      </x:c>
      <x:c r="B128" s="20" t="str">
        <x:v>[G28-8]</x:v>
      </x:c>
      <x:c r="C128" s="20" t="str">
        <x:v>生成最短间隔</x:v>
      </x:c>
      <x:c r="D128" s="20" t="str">
        <x:v>秒</x:v>
      </x:c>
      <x:c r="E128" s="56" t="n">
        <x:v>3</x:v>
      </x:c>
      <x:c r="F128" s="20" t="str">
        <x:v>补充提案</x:v>
      </x:c>
      <x:c r="G128" s="20" t="str">
        <x:v>最多同时存在[G28-7]座，生成间隔不低于[G28-8]秒；炮台不复制英雄技能，不触发施法、普攻次数与召唤递归效果。</x:v>
      </x:c>
    </x:row>
    <x:row r="129" ht="38" customHeight="1">
      <x:c r="A129" s="64" t="str">
        <x:v>G29｜缓伤酒</x:v>
      </x:c>
      <x:c r="B129" s="64" t="str">
        <x:v>[G29-1]</x:v>
      </x:c>
      <x:c r="C129" s="64" t="str">
        <x:v>直接伤害延后比例</x:v>
      </x:c>
      <x:c r="D129" s="64" t="str">
        <x:v>%</x:v>
      </x:c>
      <x:c r="E129" s="56" t="n">
        <x:v>35</x:v>
      </x:c>
      <x:c r="F129" s="20" t="str">
        <x:v>补充提案</x:v>
      </x:c>
      <x:c r="G129" s="20" t="str">
        <x:v>受到直接伤害时，将其中[G29-1]%延后至[G29-2]秒内均匀扣除，其余立即结算。延后伤害不再次</x:v>
      </x:c>
    </x:row>
    <x:row r="130" ht="38" customHeight="1">
      <x:c r="A130" s="20" t="str">
        <x:v>G29｜缓伤酒</x:v>
      </x:c>
      <x:c r="B130" s="20" t="str">
        <x:v>[G29-2]</x:v>
      </x:c>
      <x:c r="C130" s="20" t="str">
        <x:v>延后扣血持续</x:v>
      </x:c>
      <x:c r="D130" s="20" t="str">
        <x:v>秒</x:v>
      </x:c>
      <x:c r="E130" s="56" t="n">
        <x:v>4</x:v>
      </x:c>
      <x:c r="F130" s="20" t="str">
        <x:v>补充提案</x:v>
      </x:c>
      <x:c r="G130" s="20" t="str">
        <x:v>受到直接伤害时，将其中[G29-1]%延后至[G29-2]秒内均匀扣除，其余立即结算。延后伤害不再次减伤、不再次延后、不触</x:v>
      </x:c>
    </x:row>
    <x:row r="131" ht="38" customHeight="1">
      <x:c r="A131" s="64" t="str">
        <x:v>G30｜囤金战甲</x:v>
      </x:c>
      <x:c r="B131" s="64" t="str">
        <x:v>[G30-1]</x:v>
      </x:c>
      <x:c r="C131" s="64" t="str">
        <x:v>金币计算单位</x:v>
      </x:c>
      <x:c r="D131" s="64" t="str">
        <x:v>金币</x:v>
      </x:c>
      <x:c r="E131" s="56" t="n">
        <x:v>500</x:v>
      </x:c>
      <x:c r="F131" s="20" t="str">
        <x:v>补充提案</x:v>
      </x:c>
      <x:c r="G131" s="20" t="str">
        <x:v>每持有[G30-1]金币，获得[G30-2]点防御力与[G30-3]点最大生命值，最</x:v>
      </x:c>
    </x:row>
    <x:row r="132" ht="38" customHeight="1">
      <x:c r="A132" s="20" t="str">
        <x:v>G30｜囤金战甲</x:v>
      </x:c>
      <x:c r="B132" s="20" t="str">
        <x:v>[G30-2]</x:v>
      </x:c>
      <x:c r="C132" s="20" t="str">
        <x:v>每单位防御力</x:v>
      </x:c>
      <x:c r="D132" s="20" t="str">
        <x:v>点</x:v>
      </x:c>
      <x:c r="E132" s="56" t="n">
        <x:v>4</x:v>
      </x:c>
      <x:c r="F132" s="20" t="str">
        <x:v>补充提案</x:v>
      </x:c>
      <x:c r="G132" s="20" t="str">
        <x:v>每持有[G30-1]金币，获得[G30-2]点防御力与[G30-3]点最大生命值，最多计算[G30-4]金币</x:v>
      </x:c>
    </x:row>
    <x:row r="133" ht="38" customHeight="1">
      <x:c r="A133" s="20" t="str">
        <x:v>G30｜囤金战甲</x:v>
      </x:c>
      <x:c r="B133" s="20" t="str">
        <x:v>[G30-3]</x:v>
      </x:c>
      <x:c r="C133" s="20" t="str">
        <x:v>每单位最大生命</x:v>
      </x:c>
      <x:c r="D133" s="20" t="str">
        <x:v>点</x:v>
      </x:c>
      <x:c r="E133" s="56" t="n">
        <x:v>35</x:v>
      </x:c>
      <x:c r="F133" s="20" t="str">
        <x:v>补充提案</x:v>
      </x:c>
      <x:c r="G133" s="20" t="str">
        <x:v>30-1]金币，获得[G30-2]点防御力与[G30-3]点最大生命值，最多计算[G30-4]金币。不消耗金币，花费或获得</x:v>
      </x:c>
    </x:row>
    <x:row r="134" ht="38" customHeight="1">
      <x:c r="A134" s="20" t="str">
        <x:v>G30｜囤金战甲</x:v>
      </x:c>
      <x:c r="B134" s="20" t="str">
        <x:v>[G30-4]</x:v>
      </x:c>
      <x:c r="C134" s="20" t="str">
        <x:v>计入金币上限</x:v>
      </x:c>
      <x:c r="D134" s="20" t="str">
        <x:v>金币</x:v>
      </x:c>
      <x:c r="E134" s="56" t="n">
        <x:v>5000</x:v>
      </x:c>
      <x:c r="F134" s="20" t="str">
        <x:v>补充提案</x:v>
      </x:c>
      <x:c r="G134" s="20" t="str">
        <x:v>防御力与[G30-3]点最大生命值，最多计算[G30-4]金币。不消耗金币，花费或获得金币后立即重算。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862caceb9834fb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8" hidden="0" customWidth="1"/>
    <x:col min="4" max="4" width="110" hidden="0" customWidth="1"/>
  </x:cols>
  <x:sheetData>
    <x:row r="1" ht="36" customHeight="1">
      <x:c r="A1" s="7" t="str">
        <x:v>海克斯｜机制原文与编号对照</x:v>
      </x:c>
      <x:c r="B1" s="7"/>
      <x:c r="C1" s="7"/>
      <x:c r="D1" s="7"/>
    </x:row>
    <x:row r="2" ht="30" customHeight="1">
      <x:c r="A2" s="11" t="str">
        <x:v>机制文字与上一份 Word 保持一致。占位符数值由参数工作表管理，本页不重复维护静态数值。</x:v>
      </x:c>
      <x:c r="B2" s="11"/>
      <x:c r="C2" s="11"/>
      <x:c r="D2" s="11"/>
    </x:row>
    <x:row r="3" ht="24" customHeight="1">
      <x:c r="A3" s="3"/>
      <x:c r="B3" s="3"/>
      <x:c r="C3" s="3"/>
      <x:c r="D3" s="3"/>
    </x:row>
    <x:row r="4" ht="28" customHeight="1">
      <x:c r="A4" s="16" t="str">
        <x:v>英雄／池</x:v>
      </x:c>
      <x:c r="B4" s="16" t="str">
        <x:v>编号</x:v>
      </x:c>
      <x:c r="C4" s="16" t="str">
        <x:v>名称</x:v>
      </x:c>
      <x:c r="D4" s="16" t="str">
        <x:v>参数化机制原文</x:v>
      </x:c>
    </x:row>
    <x:row r="5" ht="84" customHeight="1">
      <x:c r="A5" s="20" t="str">
        <x:v>风厉</x:v>
      </x:c>
      <x:c r="B5" s="20" t="str">
        <x:v>H01</x:v>
      </x:c>
      <x:c r="C5" s="20" t="str">
        <x:v>饮血磨锋</x:v>
      </x:c>
      <x:c r="D5" s="20" t="str">
        <x:v>「连杀突刺」完成击杀时，使其基础固定伤害在本局永久提高[H01-1]点；同一敌人只计一次击杀。</x:v>
      </x:c>
    </x:row>
    <x:row r="6" ht="84" customHeight="1">
      <x:c r="A6" s="20" t="str">
        <x:v>风厉</x:v>
      </x:c>
      <x:c r="B6" s="20" t="str">
        <x:v>H02</x:v>
      </x:c>
      <x:c r="C6" s="20" t="str">
        <x:v>杀意未歇</x:v>
      </x:c>
      <x:c r="D6" s="20" t="str">
        <x:v>「连杀突刺」命中敌人后获得[H02-1]%攻击速度，持续[H02-2]秒；完成击杀时刷新持续时间，不叠加数值。</x:v>
      </x:c>
    </x:row>
    <x:row r="7" ht="84" customHeight="1">
      <x:c r="A7" s="20" t="str">
        <x:v>风厉</x:v>
      </x:c>
      <x:c r="B7" s="20" t="str">
        <x:v>H03</x:v>
      </x:c>
      <x:c r="C7" s="20" t="str">
        <x:v>连杀追袭</x:v>
      </x:c>
      <x:c r="D7" s="20" t="str">
        <x:v>「多目标连续突袭」一次施法中每完成一次击杀，使后续突袭最终伤害提高[H03-1]%。</x:v>
      </x:c>
    </x:row>
    <x:row r="8" ht="84" customHeight="1">
      <x:c r="A8" s="20" t="str">
        <x:v>风厉</x:v>
      </x:c>
      <x:c r="B8" s="20" t="str">
        <x:v>H04</x:v>
      </x:c>
      <x:c r="C8" s="20" t="str">
        <x:v>无处可逃</x:v>
      </x:c>
      <x:c r="D8" s="20" t="str">
        <x:v>「多目标连续突袭」允许同一敌人最多被突袭[H04-1]次，仍优先寻找尚未命中的敌人；重复突袭造成原伤害的[H04-2]%。</x:v>
      </x:c>
    </x:row>
    <x:row r="9" ht="84" customHeight="1">
      <x:c r="A9" s="20" t="str">
        <x:v>风厉</x:v>
      </x:c>
      <x:c r="B9" s="20" t="str">
        <x:v>H05</x:v>
      </x:c>
      <x:c r="C9" s="20" t="str">
        <x:v>双重剑气</x:v>
      </x:c>
      <x:c r="D9" s="20" t="str">
        <x:v>「长距剑气」可储存[H05-1]次，各次充能独立恢复；单次基础冷却延长[H05-2]%。</x:v>
      </x:c>
    </x:row>
    <x:row r="10" ht="84" customHeight="1">
      <x:c r="A10" s="20" t="str">
        <x:v>风厉</x:v>
      </x:c>
      <x:c r="B10" s="20" t="str">
        <x:v>H06</x:v>
      </x:c>
      <x:c r="C10" s="20" t="str">
        <x:v>震锋</x:v>
      </x:c>
      <x:c r="D10" s="20" t="str">
        <x:v>「长距剑气」命中敌人时额外眩晕[H06-1]秒。</x:v>
      </x:c>
    </x:row>
    <x:row r="11" ht="84" customHeight="1">
      <x:c r="A11" s="20" t="str">
        <x:v>风厉</x:v>
      </x:c>
      <x:c r="B11" s="20" t="str">
        <x:v>H07</x:v>
      </x:c>
      <x:c r="C11" s="20" t="str">
        <x:v>血猎印记</x:v>
      </x:c>
      <x:c r="D11" s="20" t="str">
        <x:v>「匕首标记·二段穿刺」的标记持续时间延长[H07-1]秒；风厉对标记目标造成的最终伤害提高[H07-2]%。</x:v>
      </x:c>
    </x:row>
    <x:row r="12" ht="84" customHeight="1">
      <x:c r="A12" s="20" t="str">
        <x:v>风厉</x:v>
      </x:c>
      <x:c r="B12" s="20" t="str">
        <x:v>H08</x:v>
      </x:c>
      <x:c r="C12" s="20" t="str">
        <x:v>定命</x:v>
      </x:c>
      <x:c r="D12" s="20" t="str">
        <x:v>「匕首标记·二段穿刺」的匕首命中，以及二段穿刺命中被标记目标时，分别使该目标眩晕[H08-1]秒。</x:v>
      </x:c>
    </x:row>
    <x:row r="13" ht="84" customHeight="1">
      <x:c r="A13" s="20" t="str">
        <x:v>风厉</x:v>
      </x:c>
      <x:c r="B13" s="20" t="str">
        <x:v>H09</x:v>
      </x:c>
      <x:c r="C13" s="20" t="str">
        <x:v>穿影余势</x:v>
      </x:c>
      <x:c r="D13" s="20" t="str">
        <x:v>「匕首标记·二段穿刺」二段结束后，获得[H09-1]%攻击速度，持续[H09-2]秒。</x:v>
      </x:c>
    </x:row>
    <x:row r="14" ht="84" customHeight="1">
      <x:c r="A14" s="20" t="str">
        <x:v>风厉</x:v>
      </x:c>
      <x:c r="B14" s="20" t="str">
        <x:v>H10</x:v>
      </x:c>
      <x:c r="C14" s="20" t="str">
        <x:v>留影</x:v>
      </x:c>
      <x:c r="D14" s="20" t="str">
        <x:v>「旋斩瞬移」在瞬移前的位置留下持续[H10-1]秒的不可选中虚影；期间再次释放可返回虚影位置并消除虚影。本技能基础冷却延长[H10-2]%。</x:v>
      </x:c>
    </x:row>
    <x:row r="15" ht="84" customHeight="1">
      <x:c r="A15" s="20" t="str">
        <x:v>风厉</x:v>
      </x:c>
      <x:c r="B15" s="20" t="str">
        <x:v>H11</x:v>
      </x:c>
      <x:c r="C15" s="20" t="str">
        <x:v>回风</x:v>
      </x:c>
      <x:c r="D15" s="20" t="str">
        <x:v>「旋斩瞬移」完成瞬移后额外旋转[H11-1]圈，每圈造成[H11-2]+[H11-3]%AD普通伤害；额外旋转半径[H11-4]米，总动作持续[H11-5]秒，期间可以移动。</x:v>
      </x:c>
    </x:row>
    <x:row r="16" ht="84" customHeight="1">
      <x:c r="A16" s="20" t="str">
        <x:v>风厉</x:v>
      </x:c>
      <x:c r="B16" s="20" t="str">
        <x:v>H12</x:v>
      </x:c>
      <x:c r="C16" s="20" t="str">
        <x:v>连旋</x:v>
      </x:c>
      <x:c r="D16" s="20" t="str">
        <x:v>「旋斩瞬移」的初始旋转增加[H12-1]圈，所有初始旋转共用原动作时长；每圈攻击力伤害系数减少[H12-2]个百分点。</x:v>
      </x:c>
    </x:row>
    <x:row r="17" ht="84" customHeight="1">
      <x:c r="A17" s="20" t="str">
        <x:v>风厉</x:v>
      </x:c>
      <x:c r="B17" s="20" t="str">
        <x:v>H13</x:v>
      </x:c>
      <x:c r="C17" s="20" t="str">
        <x:v>不死超载</x:v>
      </x:c>
      <x:c r="D17" s="20" t="str">
        <x:v>「超载」持续期间首次受到致命伤害时，免疫本次伤害。每次超载最多触发[H13-1]次。</x:v>
      </x:c>
    </x:row>
    <x:row r="18" ht="84" customHeight="1">
      <x:c r="A18" s="20" t="str">
        <x:v>风厉</x:v>
      </x:c>
      <x:c r="B18" s="20" t="str">
        <x:v>H14</x:v>
      </x:c>
      <x:c r="C18" s="20" t="str">
        <x:v>血战超载</x:v>
      </x:c>
      <x:c r="D18" s="20" t="str">
        <x:v>「超载」持续期间额外获得[H14-1]%暴击率与[H14-2]%吸血。</x:v>
      </x:c>
    </x:row>
    <x:row r="19" ht="84" customHeight="1">
      <x:c r="A19" s="20" t="str">
        <x:v>风厉</x:v>
      </x:c>
      <x:c r="B19" s="20" t="str">
        <x:v>H15</x:v>
      </x:c>
      <x:c r="C19" s="20" t="str">
        <x:v>追命不息</x:v>
      </x:c>
      <x:c r="D19" s="20" t="str">
        <x:v>「乱星斩」冷却期间，每次普通攻击使其剩余冷却减少[H15-1]秒。</x:v>
      </x:c>
    </x:row>
    <x:row r="20" ht="84" customHeight="1">
      <x:c r="A20" s="20" t="str">
        <x:v>风厉</x:v>
      </x:c>
      <x:c r="B20" s="20" t="str">
        <x:v>H16</x:v>
      </x:c>
      <x:c r="C20" s="20" t="str">
        <x:v>归命</x:v>
      </x:c>
      <x:c r="D20" s="20" t="str">
        <x:v>「乱星斩」释放结束后，恢复[H16-1]%最大生命值。</x:v>
      </x:c>
    </x:row>
    <x:row r="21" ht="84" customHeight="1">
      <x:c r="A21" s="20" t="str">
        <x:v>风厉</x:v>
      </x:c>
      <x:c r="B21" s="20" t="str">
        <x:v>H17</x:v>
      </x:c>
      <x:c r="C21" s="20" t="str">
        <x:v>真骨</x:v>
      </x:c>
      <x:c r="D21" s="20" t="str">
        <x:v>「骨钉雨」的每根骨钉额外造成相当于原伤害[H17-1]%的真实伤害。</x:v>
      </x:c>
    </x:row>
    <x:row r="22" ht="84" customHeight="1">
      <x:c r="A22" s="20" t="str">
        <x:v>风厉</x:v>
      </x:c>
      <x:c r="B22" s="20" t="str">
        <x:v>H18</x:v>
      </x:c>
      <x:c r="C22" s="20" t="str">
        <x:v>第四投</x:v>
      </x:c>
      <x:c r="D22" s="20" t="str">
        <x:v>「骨钉雨」的最大投出轮数增加[H18-1]轮。</x:v>
      </x:c>
    </x:row>
    <x:row r="23" ht="84" customHeight="1">
      <x:c r="A23" s="20" t="str">
        <x:v>风厉</x:v>
      </x:c>
      <x:c r="B23" s="20" t="str">
        <x:v>H19</x:v>
      </x:c>
      <x:c r="C23" s="20" t="str">
        <x:v>增钉</x:v>
      </x:c>
      <x:c r="D23" s="20" t="str">
        <x:v>「骨钉雨」每轮投出的基础骨钉数量增加[H19-1]根。</x:v>
      </x:c>
    </x:row>
    <x:row r="24" ht="84" customHeight="1">
      <x:c r="A24" s="20" t="str">
        <x:v>晏归舟</x:v>
      </x:c>
      <x:c r="B24" s="20" t="str">
        <x:v>H01</x:v>
      </x:c>
      <x:c r="C24" s="20" t="str">
        <x:v>曲水</x:v>
      </x:c>
      <x:c r="D24" s="20" t="str">
        <x:v>「飞流三千」的墨线允许最多[H01-1]个拐角，最大绘线长度提高[H01-2]%。</x:v>
      </x:c>
    </x:row>
    <x:row r="25" ht="84" customHeight="1">
      <x:c r="A25" s="20" t="str">
        <x:v>晏归舟</x:v>
      </x:c>
      <x:c r="B25" s="20" t="str">
        <x:v>H02</x:v>
      </x:c>
      <x:c r="C25" s="20" t="str">
        <x:v>落潭</x:v>
      </x:c>
      <x:c r="D25" s="20" t="str">
        <x:v>「飞流三千」在终点生成半径[H02-1]米、持续[H02-2]秒的漩涡；其中可位移敌人以[H02-3]米/秒向中心移动。</x:v>
      </x:c>
    </x:row>
    <x:row r="26" ht="84" customHeight="1">
      <x:c r="A26" s="20" t="str">
        <x:v>晏归舟</x:v>
      </x:c>
      <x:c r="B26" s="20" t="str">
        <x:v>H03</x:v>
      </x:c>
      <x:c r="C26" s="20" t="str">
        <x:v>河曲</x:v>
      </x:c>
      <x:c r="D26" s="20" t="str">
        <x:v>「大漠孤烟·长河落日」允许在孤烟与落日之间设置最多[H03-1]个折点，使长河成为折线。</x:v>
      </x:c>
    </x:row>
    <x:row r="27" ht="84" customHeight="1">
      <x:c r="A27" s="20" t="str">
        <x:v>晏归舟</x:v>
      </x:c>
      <x:c r="B27" s="20" t="str">
        <x:v>H04</x:v>
      </x:c>
      <x:c r="C27" s="20" t="str">
        <x:v>落日熔金</x:v>
      </x:c>
      <x:c r="D27" s="20" t="str">
        <x:v>「大漠孤烟·长河落日」的落日形成伤害区域，持续[H04-1]秒；半径从[H04-2]米线性收缩至[H04-3]米。每隔[H04-4]秒对其中敌人造成[H04-5]+[H04-6]%AP普通伤害。</x:v>
      </x:c>
    </x:row>
    <x:row r="28" ht="84" customHeight="1">
      <x:c r="A28" s="20" t="str">
        <x:v>晏归舟</x:v>
      </x:c>
      <x:c r="B28" s="20" t="str">
        <x:v>H05</x:v>
      </x:c>
      <x:c r="C28" s="20" t="str">
        <x:v>重峦</x:v>
      </x:c>
      <x:c r="D28" s="20" t="str">
        <x:v>「溪山行旅」的山体长度提高[H05-1]%。</x:v>
      </x:c>
    </x:row>
    <x:row r="29" ht="84" customHeight="1">
      <x:c r="A29" s="20" t="str">
        <x:v>晏归舟</x:v>
      </x:c>
      <x:c r="B29" s="20" t="str">
        <x:v>H06</x:v>
      </x:c>
      <x:c r="C29" s="20" t="str">
        <x:v>山崩</x:v>
      </x:c>
      <x:c r="D29" s="20" t="str">
        <x:v>「溪山行旅」坍塌的山体命中敌人时，额外使其眩晕[H06-1]秒。</x:v>
      </x:c>
    </x:row>
    <x:row r="30" ht="84" customHeight="1">
      <x:c r="A30" s="20" t="str">
        <x:v>晏归舟</x:v>
      </x:c>
      <x:c r="B30" s="20" t="str">
        <x:v>H07</x:v>
      </x:c>
      <x:c r="C30" s="20" t="str">
        <x:v>竹杖芒鞋</x:v>
      </x:c>
      <x:c r="D30" s="20" t="str">
        <x:v>「一蓑烟雨」可在被控制时使用；进入烟雨时解除已有减速与控制。</x:v>
      </x:c>
    </x:row>
    <x:row r="31" ht="84" customHeight="1">
      <x:c r="A31" s="20" t="str">
        <x:v>晏归舟</x:v>
      </x:c>
      <x:c r="B31" s="20" t="str">
        <x:v>H08</x:v>
      </x:c>
      <x:c r="C31" s="20" t="str">
        <x:v>也无风雨</x:v>
      </x:c>
      <x:c r="D31" s="20" t="str">
        <x:v>进入「一蓑烟雨」后的[H08-1]秒内，不受到任何伤害。</x:v>
      </x:c>
    </x:row>
    <x:row r="32" ht="84" customHeight="1">
      <x:c r="A32" s="20" t="str">
        <x:v>晏归舟</x:v>
      </x:c>
      <x:c r="B32" s="20" t="str">
        <x:v>H09</x:v>
      </x:c>
      <x:c r="C32" s="20" t="str">
        <x:v>回帆</x:v>
      </x:c>
      <x:c r="D32" s="20" t="str">
        <x:v>「孤帆远影」登舟后小舟不消失，而是以[H09-1]米/秒沿原航线反向返回，对宽[H09-2]米路径内的敌人造成[H09-3]+[H09-4]%AP普通伤害；同一敌人最多被回帆命中[H09-5]次。</x:v>
      </x:c>
    </x:row>
    <x:row r="33" ht="84" customHeight="1">
      <x:c r="A33" s="20" t="str">
        <x:v>晏归舟</x:v>
      </x:c>
      <x:c r="B33" s="20" t="str">
        <x:v>H10</x:v>
      </x:c>
      <x:c r="C33" s="20" t="str">
        <x:v>不尽</x:v>
      </x:c>
      <x:c r="D33" s="20" t="str">
        <x:v>「孤帆远影」完整航行结束而未登舟时，在终点留下持续[H10-1]秒的诱敌墨舟，嘲讽半径[H10-2]米内可嘲讽敌人；未登舟终点爆发延后至诱敌墨舟消失时触发。</x:v>
      </x:c>
    </x:row>
    <x:row r="34" ht="84" customHeight="1">
      <x:c r="A34" s="20" t="str">
        <x:v>晏归舟</x:v>
      </x:c>
      <x:c r="B34" s="20" t="str">
        <x:v>H11</x:v>
      </x:c>
      <x:c r="C34" s="20" t="str">
        <x:v>自白</x:v>
      </x:c>
      <x:c r="D34" s="20" t="str">
        <x:v>「咫尺千里」可交换晏归舟自身与友方英雄的位置。</x:v>
      </x:c>
    </x:row>
    <x:row r="35" ht="84" customHeight="1">
      <x:c r="A35" s="20" t="str">
        <x:v>晏归舟</x:v>
      </x:c>
      <x:c r="B35" s="20" t="str">
        <x:v>H12</x:v>
      </x:c>
      <x:c r="C35" s="20" t="str">
        <x:v>倒卷</x:v>
      </x:c>
      <x:c r="D35" s="20" t="str">
        <x:v>「咫尺千里」交换完成后的[H12-1]秒内，可以再次释放，使仍存活的原交换对象回到原区域。</x:v>
      </x:c>
    </x:row>
    <x:row r="36" ht="84" customHeight="1">
      <x:c r="A36" s="20" t="str">
        <x:v>晏归舟</x:v>
      </x:c>
      <x:c r="B36" s="20" t="str">
        <x:v>H13</x:v>
      </x:c>
      <x:c r="C36" s="20" t="str">
        <x:v>鸟飞绝</x:v>
      </x:c>
      <x:c r="D36" s="20" t="str">
        <x:v>「独钓寒江雪」领域生成时，冻结普通敌人[H13-1]秒、精英[H13-2]秒；Boss不被冻结。</x:v>
      </x:c>
    </x:row>
    <x:row r="37" ht="84" customHeight="1">
      <x:c r="A37" s="20" t="str">
        <x:v>晏归舟</x:v>
      </x:c>
      <x:c r="B37" s="20" t="str">
        <x:v>H14</x:v>
      </x:c>
      <x:c r="C37" s="20" t="str">
        <x:v>人踪灭</x:v>
      </x:c>
      <x:c r="D37" s="20" t="str">
        <x:v>「独钓寒江雪」领域内敌人被击杀后化为雪迹，每名敌人为晏归舟恢复[H14-1]%最大生命值；单次大招最多恢复[H14-2]%最大生命值。</x:v>
      </x:c>
    </x:row>
    <x:row r="38" ht="84" customHeight="1">
      <x:c r="A38" s="20" t="str">
        <x:v>晏归舟</x:v>
      </x:c>
      <x:c r="B38" s="20" t="str">
        <x:v>H15</x:v>
      </x:c>
      <x:c r="C38" s="20" t="str">
        <x:v>万壑争流</x:v>
      </x:c>
      <x:c r="D38" s="20" t="str">
        <x:v>「千里江山」的山峰出现间隔缩短[H15-1]%，山峰最终伤害提高[H15-2]%。</x:v>
      </x:c>
    </x:row>
    <x:row r="39" ht="84" customHeight="1">
      <x:c r="A39" s="20" t="str">
        <x:v>晏归舟</x:v>
      </x:c>
      <x:c r="B39" s="20" t="str">
        <x:v>H16</x:v>
      </x:c>
      <x:c r="C39" s="20" t="str">
        <x:v>收尽山河</x:v>
      </x:c>
      <x:c r="D39" s="20" t="str">
        <x:v>「千里江山」收卷前，将普通敌人向领域中心位移[H16-1]米，位移持续[H16-2]秒；最终收卷伤害提高[H16-3]%。</x:v>
      </x:c>
    </x:row>
    <x:row r="40" ht="84" customHeight="1">
      <x:c r="A40" s="20" t="str">
        <x:v>弧翎</x:v>
      </x:c>
      <x:c r="B40" s="20" t="str">
        <x:v>H01</x:v>
      </x:c>
      <x:c r="C40" s="20" t="str">
        <x:v>超距校准</x:v>
      </x:c>
      <x:c r="D40" s="20" t="str">
        <x:v>「贯星」命中距离不低于最大射程[H01-1]%的敌人时，该次伤害额外获得[H01-2]点穿甲。</x:v>
      </x:c>
    </x:row>
    <x:row r="41" ht="84" customHeight="1">
      <x:c r="A41" s="20" t="str">
        <x:v>弧翎</x:v>
      </x:c>
      <x:c r="B41" s="20" t="str">
        <x:v>H02</x:v>
      </x:c>
      <x:c r="C41" s="20" t="str">
        <x:v>穿星而过</x:v>
      </x:c>
      <x:c r="D41" s="20" t="str">
        <x:v>「贯星」一次贯穿至少[H02-1]名敌人时，返还该技能[H02-2]%当前冷却。</x:v>
      </x:c>
    </x:row>
    <x:row r="42" ht="84" customHeight="1">
      <x:c r="A42" s="20" t="str">
        <x:v>弧翎</x:v>
      </x:c>
      <x:c r="B42" s="20" t="str">
        <x:v>H03</x:v>
      </x:c>
      <x:c r="C42" s="20" t="str">
        <x:v>处决协议</x:v>
      </x:c>
      <x:c r="D42" s="20" t="str">
        <x:v>「蜂群锁定」的微弹击杀敌人时，在其位置产生半径[H03-1]米的爆炸，造成[H03-2]+[H03-3]%AD普通伤害。</x:v>
      </x:c>
    </x:row>
    <x:row r="43" ht="84" customHeight="1">
      <x:c r="A43" s="20" t="str">
        <x:v>弧翎</x:v>
      </x:c>
      <x:c r="B43" s="20" t="str">
        <x:v>H04</x:v>
      </x:c>
      <x:c r="C43" s="20" t="str">
        <x:v>重复确认</x:v>
      </x:c>
      <x:c r="D43" s="20" t="str">
        <x:v>「蜂群锁定」最终只锁定单个敌人时，全部微弹对该目标的最终伤害提高[H04-1]%。</x:v>
      </x:c>
    </x:row>
    <x:row r="44" ht="84" customHeight="1">
      <x:c r="A44" s="20" t="str">
        <x:v>弧翎</x:v>
      </x:c>
      <x:c r="B44" s="20" t="str">
        <x:v>H05</x:v>
      </x:c>
      <x:c r="C44" s="20" t="str">
        <x:v>回旋轨迹</x:v>
      </x:c>
      <x:c r="D44" s="20" t="str">
        <x:v>「折光刃轮」最后一次反弹后，以[H05-1]米/秒飞向弧翎当前位置。回程造成原伤害的[H05-2]%，并可额外命中已受击敌人[H05-3]次。</x:v>
      </x:c>
    </x:row>
    <x:row r="45" ht="84" customHeight="1">
      <x:c r="A45" s="20" t="str">
        <x:v>弧翎</x:v>
      </x:c>
      <x:c r="B45" s="20" t="str">
        <x:v>H06</x:v>
      </x:c>
      <x:c r="C45" s="20" t="str">
        <x:v>借壁加速</x:v>
      </x:c>
      <x:c r="D45" s="20" t="str">
        <x:v>「折光刃轮」每次撞墙后，飞行速度提高[H06-1]%，并使该技能剩余冷却减少[H06-2]秒。</x:v>
      </x:c>
    </x:row>
    <x:row r="46" ht="84" customHeight="1">
      <x:c r="A46" s="20" t="str">
        <x:v>弧翎</x:v>
      </x:c>
      <x:c r="B46" s="20" t="str">
        <x:v>H07</x:v>
      </x:c>
      <x:c r="C46" s="20" t="str">
        <x:v>逆向猎杀</x:v>
      </x:c>
      <x:c r="D46" s="20" t="str">
        <x:v>「逆冲」的全部光针命中同一个敌人时，使其减速[H07-1]%，持续[H07-2]秒。</x:v>
      </x:c>
    </x:row>
    <x:row r="47" ht="84" customHeight="1">
      <x:c r="A47" s="20" t="str">
        <x:v>弧翎</x:v>
      </x:c>
      <x:c r="B47" s="20" t="str">
        <x:v>H08</x:v>
      </x:c>
      <x:c r="C47" s="20" t="str">
        <x:v>完美脱离</x:v>
      </x:c>
      <x:c r="D47" s="20" t="str">
        <x:v>「逆冲」位移过程中成功避开一次原本会命中的攻击时，返还该技能[H08-1]%当前冷却。</x:v>
      </x:c>
    </x:row>
    <x:row r="48" ht="84" customHeight="1">
      <x:c r="A48" s="20" t="str">
        <x:v>弧翎</x:v>
      </x:c>
      <x:c r="B48" s="20" t="str">
        <x:v>H09</x:v>
      </x:c>
      <x:c r="C48" s="20" t="str">
        <x:v>高压弹仓</x:v>
      </x:c>
      <x:c r="D48" s="20" t="str">
        <x:v>「六翼悬膛」储存攻击的最终伤害额外提高[H09-1]%。</x:v>
      </x:c>
    </x:row>
    <x:row r="49" ht="84" customHeight="1">
      <x:c r="A49" s="20" t="str">
        <x:v>弧翎</x:v>
      </x:c>
      <x:c r="B49" s="20" t="str">
        <x:v>H10</x:v>
      </x:c>
      <x:c r="C49" s="20" t="str">
        <x:v>双装填</x:v>
      </x:c>
      <x:c r="D49" s="20" t="str">
        <x:v>「六翼悬膛」可持续储存至第[H10-1]次归翼齐射，储存上限提高至[H10-2]次普通攻击。</x:v>
      </x:c>
    </x:row>
    <x:row r="50" ht="84" customHeight="1">
      <x:c r="A50" s="20" t="str">
        <x:v>弧翎</x:v>
      </x:c>
      <x:c r="B50" s="20" t="str">
        <x:v>H11</x:v>
      </x:c>
      <x:c r="C50" s="20" t="str">
        <x:v>完美装甲</x:v>
      </x:c>
      <x:c r="D50" s="20" t="str">
        <x:v>「六翼闭合」期间无法被控制。</x:v>
      </x:c>
    </x:row>
    <x:row r="51" ht="84" customHeight="1">
      <x:c r="A51" s="20" t="str">
        <x:v>弧翎</x:v>
      </x:c>
      <x:c r="B51" s="20" t="str">
        <x:v>H12</x:v>
      </x:c>
      <x:c r="C51" s="20" t="str">
        <x:v>充能装置</x:v>
      </x:c>
      <x:c r="D51" s="20" t="str">
        <x:v>「六翼闭合」期间每次受到攻击，使其他技能当前冷却减少[H12-1]%。</x:v>
      </x:c>
    </x:row>
    <x:row r="52" ht="84" customHeight="1">
      <x:c r="A52" s="20" t="str">
        <x:v>弧翎</x:v>
      </x:c>
      <x:c r="B52" s="20" t="str">
        <x:v>H13</x:v>
      </x:c>
      <x:c r="C52" s="20" t="str">
        <x:v>猎杀蜂群</x:v>
      </x:c>
      <x:c r="D52" s="20" t="str">
        <x:v>「六翼解封」期间，当前目标死亡时尚未射出的翼炮自动转向[H13-1]米内的敌人；每次击杀延长本次状态[H13-2]秒，单次大招最多延长[H13-3]秒。</x:v>
      </x:c>
    </x:row>
    <x:row r="53" ht="84" customHeight="1">
      <x:c r="A53" s="20" t="str">
        <x:v>弧翎</x:v>
      </x:c>
      <x:c r="B53" s="20" t="str">
        <x:v>H14</x:v>
      </x:c>
      <x:c r="C53" s="20" t="str">
        <x:v>终端过载</x:v>
      </x:c>
      <x:c r="D53" s="20" t="str">
        <x:v>「六翼解封」结束前的最后一次普通攻击改为[H14-1]道平行贯穿光束；判定长度[H14-2]米、总覆盖宽度[H14-3]米，总计造成[H14-4]+[H14-5]%AD普通伤害。命中精英或Boss时恢复[H14-6]%最大生命值。</x:v>
      </x:c>
    </x:row>
    <x:row r="54" ht="84" customHeight="1">
      <x:c r="A54" s="20" t="str">
        <x:v>弧翎</x:v>
      </x:c>
      <x:c r="B54" s="20" t="str">
        <x:v>H15</x:v>
      </x:c>
      <x:c r="C54" s="20" t="str">
        <x:v>连续坠射</x:v>
      </x:c>
      <x:c r="D54" s="20" t="str">
        <x:v>「天矛协议·六翼坠射」每根天矛命中精英或Boss后，在[H15-1]秒内发射的下一根天矛取消前摇，最终伤害提高[H15-2]%；连续满足条件可以叠加，叠加在本次大招结束时清除。</x:v>
      </x:c>
    </x:row>
    <x:row r="55" ht="84" customHeight="1">
      <x:c r="A55" s="20" t="str">
        <x:v>弧翎</x:v>
      </x:c>
      <x:c r="B55" s="20" t="str">
        <x:v>H16</x:v>
      </x:c>
      <x:c r="C55" s="20" t="str">
        <x:v>第六天罚</x:v>
      </x:c>
      <x:c r="D55" s="20" t="str">
        <x:v>「天矛协议·六翼坠射」的最后一发改为终结炮，判定宽度为普通天矛的[H16-1]倍，造成[H16-2]+[H16-3]%AD+目标已损失生命值[H16-4]%的普通伤害。</x:v>
      </x:c>
    </x:row>
    <x:row r="56" ht="84" customHeight="1">
      <x:c r="A56" s="20" t="str">
        <x:v>玄垒</x:v>
      </x:c>
      <x:c r="B56" s="20" t="str">
        <x:v>H01</x:v>
      </x:c>
      <x:c r="C56" s="20" t="str">
        <x:v>城门也能劈人</x:v>
      </x:c>
      <x:c r="D56" s="20" t="str">
        <x:v>「摧城」中心判定夹角缩小为[H01-1]度，中心直接命中敌人时最终伤害提高[H01-2]%。</x:v>
      </x:c>
    </x:row>
    <x:row r="57" ht="84" customHeight="1">
      <x:c r="A57" s="20" t="str">
        <x:v>玄垒</x:v>
      </x:c>
      <x:c r="B57" s="20" t="str">
        <x:v>H02</x:v>
      </x:c>
      <x:c r="C57" s="20" t="str">
        <x:v>一门两响</x:v>
      </x:c>
      <x:c r="D57" s="20" t="str">
        <x:v>「摧城」一次命中至少[H02-1]名敌人时，[H02-2]秒后在同一区域产生余震，造成原技能[H02-3]%的伤害。</x:v>
      </x:c>
    </x:row>
    <x:row r="58" ht="84" customHeight="1">
      <x:c r="A58" s="20" t="str">
        <x:v>玄垒</x:v>
      </x:c>
      <x:c r="B58" s="20" t="str">
        <x:v>H03</x:v>
      </x:c>
      <x:c r="C58" s="20" t="str">
        <x:v>锁链不收</x:v>
      </x:c>
      <x:c r="D58" s="20" t="str">
        <x:v>「锁城索」获得[H03-1]次储能，各次独立恢复；单次伤害降低[H03-2]%。</x:v>
      </x:c>
    </x:row>
    <x:row r="59" ht="84" customHeight="1">
      <x:c r="A59" s="20" t="str">
        <x:v>玄垒</x:v>
      </x:c>
      <x:c r="B59" s="20" t="str">
        <x:v>H04</x:v>
      </x:c>
      <x:c r="C59" s="20" t="str">
        <x:v>你也配站那么远</x:v>
      </x:c>
      <x:c r="D59" s="20" t="str">
        <x:v>「锁城索」作用半径提高[H04-1]%。</x:v>
      </x:c>
    </x:row>
    <x:row r="60" ht="84" customHeight="1">
      <x:c r="A60" s="20" t="str">
        <x:v>玄垒</x:v>
      </x:c>
      <x:c r="B60" s="20" t="str">
        <x:v>H05</x:v>
      </x:c>
      <x:c r="C60" s="20" t="str">
        <x:v>撞人也是武器</x:v>
      </x:c>
      <x:c r="D60" s="20" t="str">
        <x:v>「横关」推出的敌人可以连续撞击其他目标，单个被推动敌人最多触发[H05-1]次碰撞；后续每次碰撞的伤害与控制时间相对前次降低[H05-2]%。</x:v>
      </x:c>
    </x:row>
    <x:row r="61" ht="84" customHeight="1">
      <x:c r="A61" s="20" t="str">
        <x:v>玄垒</x:v>
      </x:c>
      <x:c r="B61" s="20" t="str">
        <x:v>H06</x:v>
      </x:c>
      <x:c r="C61" s="20" t="str">
        <x:v>别挤</x:v>
      </x:c>
      <x:c r="D61" s="20" t="str">
        <x:v>「横关」同时推出至少[H06-1]名敌人时，返还该技能[H06-2]%冷却。</x:v>
      </x:c>
    </x:row>
    <x:row r="62" ht="84" customHeight="1">
      <x:c r="A62" s="20" t="str">
        <x:v>玄垒</x:v>
      </x:c>
      <x:c r="B62" s="20" t="str">
        <x:v>H07</x:v>
      </x:c>
      <x:c r="C62" s="20" t="str">
        <x:v>开门迎客</x:v>
      </x:c>
      <x:c r="D62" s="20" t="str">
        <x:v>「镇门」反击时，玄垒随城门向前移动[H07-1]米，持续[H07-2]秒，并使敌人的击退距离增加[H07-3]米。</x:v>
      </x:c>
    </x:row>
    <x:row r="63" ht="84" customHeight="1">
      <x:c r="A63" s="20" t="str">
        <x:v>玄垒</x:v>
      </x:c>
      <x:c r="B63" s="20" t="str">
        <x:v>H08</x:v>
      </x:c>
      <x:c r="C63" s="20" t="str">
        <x:v>再来一下</x:v>
      </x:c>
      <x:c r="D63" s="20" t="str">
        <x:v>「镇门」防御期间累计受到相当于自身最大生命[H08-1]%的伤害后，反击伤害提高[H08-2]%、长度与宽度提高[H08-3]%，并额外眩晕普通敌人[H08-4]秒。</x:v>
      </x:c>
    </x:row>
    <x:row r="64" ht="84" customHeight="1">
      <x:c r="A64" s="20" t="str">
        <x:v>玄垒</x:v>
      </x:c>
      <x:c r="B64" s="20" t="str">
        <x:v>H09</x:v>
      </x:c>
      <x:c r="C64" s="20" t="str">
        <x:v>不许刹车</x:v>
      </x:c>
      <x:c r="D64" s="20" t="str">
        <x:v>「冲垒」每多顶住一名普通敌人，本次冲锋距离延长[H09-1]%，最多延长[H09-2]%。</x:v>
      </x:c>
    </x:row>
    <x:row r="65" ht="84" customHeight="1">
      <x:c r="A65" s="20" t="str">
        <x:v>玄垒</x:v>
      </x:c>
      <x:c r="B65" s="20" t="str">
        <x:v>H10</x:v>
      </x:c>
      <x:c r="C65" s="20" t="str">
        <x:v>借墙杀人</x:v>
      </x:c>
      <x:c r="D65" s="20" t="str">
        <x:v>「冲垒」把敌人撞到竞技场边缘时，在碰撞点半径[H10-1]米内产生震荡，对其他敌人造成该次撞墙追加伤害的[H10-2]%。</x:v>
      </x:c>
    </x:row>
    <x:row r="66" ht="84" customHeight="1">
      <x:c r="A66" s="20" t="str">
        <x:v>玄垒</x:v>
      </x:c>
      <x:c r="B66" s="20" t="str">
        <x:v>H11</x:v>
      </x:c>
      <x:c r="C66" s="20" t="str">
        <x:v>同袍</x:v>
      </x:c>
      <x:c r="D66" s="20" t="str">
        <x:v>「合垒」范围内其他玩家首次受到致命伤害时，保留[H11-1]点生命；玄垒立即承受相当于该玩家最大生命值[H11-2]%的真实伤害。每次防御阵最多触发[H11-3]次。</x:v>
      </x:c>
    </x:row>
    <x:row r="67" ht="84" customHeight="1">
      <x:c r="A67" s="20" t="str">
        <x:v>玄垒</x:v>
      </x:c>
      <x:c r="B67" s="20" t="str">
        <x:v>H12</x:v>
      </x:c>
      <x:c r="C67" s="20" t="str">
        <x:v>此处就是城</x:v>
      </x:c>
      <x:c r="D67" s="20" t="str">
        <x:v>「合垒」期间玄垒停止移动超过[H12-1]秒时，防御阵半径提高[H12-2]%，自身攻击速度提高[H12-3]%；重新移动后取消额外效果。</x:v>
      </x:c>
    </x:row>
    <x:row r="68" ht="84" customHeight="1">
      <x:c r="A68" s="20" t="str">
        <x:v>玄垒</x:v>
      </x:c>
      <x:c r="B68" s="20" t="str">
        <x:v>H13</x:v>
      </x:c>
      <x:c r="C68" s="20" t="str">
        <x:v>众矢之的</x:v>
      </x:c>
      <x:c r="D68" s="20" t="str">
        <x:v>「背城」的城压记录比例提高[H13-1]个百分点，但结束后的护盾转化效率降低[H13-2]%。</x:v>
      </x:c>
    </x:row>
    <x:row r="69" ht="84" customHeight="1">
      <x:c r="A69" s="20" t="str">
        <x:v>玄垒</x:v>
      </x:c>
      <x:c r="B69" s="20" t="str">
        <x:v>H14</x:v>
      </x:c>
      <x:c r="C69" s="20" t="str">
        <x:v>城不破</x:v>
      </x:c>
      <x:c r="D69" s="20" t="str">
        <x:v>「背城」结束时若生命低于最大生命[H14-1]%，最终砸地后额外恢复[H14-2]%最大生命值。</x:v>
      </x:c>
    </x:row>
    <x:row r="70" ht="84" customHeight="1">
      <x:c r="A70" s="20" t="str">
        <x:v>玄垒</x:v>
      </x:c>
      <x:c r="B70" s="20" t="str">
        <x:v>H15</x:v>
      </x:c>
      <x:c r="C70" s="20" t="str">
        <x:v>第四叩</x:v>
      </x:c>
      <x:c r="D70" s="20" t="str">
        <x:v>「三叩天关」增加[H15-1]次冲锋，最终砸地在追加冲锋完成后触发；每次冲锋伤害降低[H15-2]%。</x:v>
      </x:c>
    </x:row>
    <x:row r="71" ht="84" customHeight="1">
      <x:c r="A71" s="20" t="str">
        <x:v>玄垒</x:v>
      </x:c>
      <x:c r="B71" s="20" t="str">
        <x:v>H16</x:v>
      </x:c>
      <x:c r="C71" s="20" t="str">
        <x:v>回马关</x:v>
      </x:c>
      <x:c r="D71" s="20" t="str">
        <x:v>「三叩天关」的下一次冲锋方向与上次方向夹角不少于[H16-1]度时，该次冲锋伤害提高[H16-2]%，速度提高[H16-3]%。</x:v>
      </x:c>
    </x:row>
    <x:row r="72" ht="84" customHeight="1">
      <x:c r="A72" s="20" t="str">
        <x:v>赫兹</x:v>
      </x:c>
      <x:c r="B72" s="20" t="str">
        <x:v>H01</x:v>
      </x:c>
      <x:c r="C72" s="20" t="str">
        <x:v>全线贯通</x:v>
      </x:c>
      <x:c r="D72" s="20" t="str">
        <x:v>「全列齐射」的炮弹可额外贯穿[H01-1]名普通敌人，贯穿后的爆炸半径提高[H01-2]%。</x:v>
      </x:c>
    </x:row>
    <x:row r="73" ht="84" customHeight="1">
      <x:c r="A73" s="20" t="str">
        <x:v>赫兹</x:v>
      </x:c>
      <x:c r="B73" s="20" t="str">
        <x:v>H02</x:v>
      </x:c>
      <x:c r="C73" s="20" t="str">
        <x:v>抵近炮击</x:v>
      </x:c>
      <x:c r="D73" s="20" t="str">
        <x:v>「全列齐射」的射程降低[H02-1]%，最终伤害提高[H02-2]%。</x:v>
      </x:c>
    </x:row>
    <x:row r="74" ht="84" customHeight="1">
      <x:c r="A74" s="20" t="str">
        <x:v>赫兹</x:v>
      </x:c>
      <x:c r="B74" s="20" t="str">
        <x:v>H03</x:v>
      </x:c>
      <x:c r="C74" s="20" t="str">
        <x:v>无限列车</x:v>
      </x:c>
      <x:c r="D74" s="20" t="str">
        <x:v>「破阵列车」每击杀一名敌人，使本次冲锋距离增加[H03-1]米，最多增加[H03-2]米。</x:v>
      </x:c>
    </x:row>
    <x:row r="75" ht="84" customHeight="1">
      <x:c r="A75" s="20" t="str">
        <x:v>赫兹</x:v>
      </x:c>
      <x:c r="B75" s="20" t="str">
        <x:v>H04</x:v>
      </x:c>
      <x:c r="C75" s="20" t="str">
        <x:v>双向通车</x:v>
      </x:c>
      <x:c r="D75" s="20" t="str">
        <x:v>「破阵列车」结束后的[H04-1]秒内可再次释放，整列车沿原路线反向开回，造成原技能[H04-2]%的伤害。</x:v>
      </x:c>
    </x:row>
    <x:row r="76" ht="84" customHeight="1">
      <x:c r="A76" s="20" t="str">
        <x:v>赫兹</x:v>
      </x:c>
      <x:c r="B76" s="20" t="str">
        <x:v>H05</x:v>
      </x:c>
      <x:c r="C76" s="20" t="str">
        <x:v>离心灾难</x:v>
      </x:c>
      <x:c r="D76" s="20" t="str">
        <x:v>「甩尾」命中至少[H05-1]名敌人时，完成原横扫后自动再转[H05-2]度，额外横扫造成原技能[H05-3]%的伤害，动作持续[H05-4]秒。</x:v>
      </x:c>
    </x:row>
    <x:row r="77" ht="84" customHeight="1">
      <x:c r="A77" s="20" t="str">
        <x:v>赫兹</x:v>
      </x:c>
      <x:c r="B77" s="20" t="str">
        <x:v>H06</x:v>
      </x:c>
      <x:c r="C77" s="20" t="str">
        <x:v>倒地不起</x:v>
      </x:c>
      <x:c r="D77" s="20" t="str">
        <x:v>「甩尾」命中少于[H06-1]名敌人时，命中的可控制敌人被击退后额外定身[H06-2]秒。</x:v>
      </x:c>
    </x:row>
    <x:row r="78" ht="84" customHeight="1">
      <x:c r="A78" s="20" t="str">
        <x:v>赫兹</x:v>
      </x:c>
      <x:c r="B78" s="20" t="str">
        <x:v>H07</x:v>
      </x:c>
      <x:c r="C78" s="20" t="str">
        <x:v>弃卒保车</x:v>
      </x:c>
      <x:c r="D78" s="20" t="str">
        <x:v>按住「断尾」时每隔[H07-1]秒依次解挂车厢，最多解挂[H07-2]节且不低于最低编组。每节脱离车厢分别按「断尾」滑行并爆炸，各造成原伤害的[H07-3]%。</x:v>
      </x:c>
    </x:row>
    <x:row r="79" ht="84" customHeight="1">
      <x:c r="A79" s="20" t="str">
        <x:v>赫兹</x:v>
      </x:c>
      <x:c r="B79" s="20" t="str">
        <x:v>H08</x:v>
      </x:c>
      <x:c r="C79" s="20" t="str">
        <x:v>加速逃离</x:v>
      </x:c>
      <x:c r="D79" s="20" t="str">
        <x:v>「断尾」提供的不可选中持续时间与移动速度加成均变为原效果的[H08-1]倍。</x:v>
      </x:c>
    </x:row>
    <x:row r="80" ht="84" customHeight="1">
      <x:c r="A80" s="20" t="str">
        <x:v>赫兹</x:v>
      </x:c>
      <x:c r="B80" s="20" t="str">
        <x:v>H09</x:v>
      </x:c>
      <x:c r="C80" s="20" t="str">
        <x:v>极限制动</x:v>
      </x:c>
      <x:c r="D80" s="20" t="str">
        <x:v>「紧急制动」的压力转化伤害上限提高[H09-1]%；达到上限时，环形冲击额外眩晕普通敌人[H09-2]秒。</x:v>
      </x:c>
    </x:row>
    <x:row r="81" ht="84" customHeight="1">
      <x:c r="A81" s="20" t="str">
        <x:v>赫兹</x:v>
      </x:c>
      <x:c r="B81" s="20" t="str">
        <x:v>H10</x:v>
      </x:c>
      <x:c r="C81" s="20" t="str">
        <x:v>弹簧编组</x:v>
      </x:c>
      <x:c r="D81" s="20" t="str">
        <x:v>「紧急制动」结束的环形冲击将普通敌人向外击退[H10-1]米，持续[H10-2]秒，并使赫兹获得[H10-3]%移动速度，持续[H10-4]秒。</x:v>
      </x:c>
    </x:row>
    <x:row r="82" ht="84" customHeight="1">
      <x:c r="A82" s="20" t="str">
        <x:v>赫兹</x:v>
      </x:c>
      <x:c r="B82" s="20" t="str">
        <x:v>H11</x:v>
      </x:c>
      <x:c r="C82" s="20" t="str">
        <x:v>快速抢修</x:v>
      </x:c>
      <x:c r="D82" s="20" t="str">
        <x:v>「战地检修」持续时间改为[H11-1]秒，完整检修的总治疗量改为原效果的[H11-2]%，基础冷却降低[H11-3]%。</x:v>
      </x:c>
    </x:row>
    <x:row r="83" ht="84" customHeight="1">
      <x:c r="A83" s="20" t="str">
        <x:v>赫兹</x:v>
      </x:c>
      <x:c r="B83" s="20" t="str">
        <x:v>H12</x:v>
      </x:c>
      <x:c r="C83" s="20" t="str">
        <x:v>满修启动</x:v>
      </x:c>
      <x:c r="D83" s="20" t="str">
        <x:v>「战地检修」完整结束后，获得[H12-1]%攻击速度与[H12-2]%移动速度，持续[H12-3]秒。</x:v>
      </x:c>
    </x:row>
    <x:row r="84" ht="84" customHeight="1">
      <x:c r="A84" s="20" t="str">
        <x:v>赫兹</x:v>
      </x:c>
      <x:c r="B84" s="20" t="str">
        <x:v>H13</x:v>
      </x:c>
      <x:c r="C84" s="20" t="str">
        <x:v>炮兵编组</x:v>
      </x:c>
      <x:c r="D84" s="20" t="str">
        <x:v>「战争列车」期间，所有车厢优先攻击赫兹当前普通攻击的目标。</x:v>
      </x:c>
    </x:row>
    <x:row r="85" ht="84" customHeight="1">
      <x:c r="A85" s="20" t="str">
        <x:v>赫兹</x:v>
      </x:c>
      <x:c r="B85" s="20" t="str">
        <x:v>H14</x:v>
      </x:c>
      <x:c r="C85" s="20" t="str">
        <x:v>全车开火</x:v>
      </x:c>
      <x:c r="D85" s="20" t="str">
        <x:v>「战争列车」期间，「全列齐射」的基础冷却改为[H14-1]秒。</x:v>
      </x:c>
    </x:row>
    <x:row r="86" ht="84" customHeight="1">
      <x:c r="A86" s="20" t="str">
        <x:v>赫兹</x:v>
      </x:c>
      <x:c r="B86" s="20" t="str">
        <x:v>H15</x:v>
      </x:c>
      <x:c r="C86" s="20" t="str">
        <x:v>第八站</x:v>
      </x:c>
      <x:c r="D86" s="20" t="str">
        <x:v>「末日终点站」的终点号结束后，再生成幽灵列车，沿与终点号垂直的方向横穿竞技场；宽度[H15-1]米、长度[H15-2]米、速度[H15-3]米/秒，造成[H15-4]+[H15-5]%AD普通伤害。</x:v>
      </x:c>
    </x:row>
    <x:row r="87" ht="84" customHeight="1">
      <x:c r="A87" s="20" t="str">
        <x:v>赫兹</x:v>
      </x:c>
      <x:c r="B87" s="20" t="str">
        <x:v>H16</x:v>
      </x:c>
      <x:c r="C87" s="20" t="str">
        <x:v>重型列车</x:v>
      </x:c>
      <x:c r="D87" s="20" t="str">
        <x:v>赫兹的车体与车厢撞击伤害提高[H16-1]%。</x:v>
      </x:c>
    </x:row>
    <x:row r="88" ht="84" customHeight="1">
      <x:c r="A88" s="20" t="str">
        <x:v>弥罗</x:v>
      </x:c>
      <x:c r="B88" s="20" t="str">
        <x:v>H01</x:v>
      </x:c>
      <x:c r="C88" s="20" t="str">
        <x:v>连皮带骨</x:v>
      </x:c>
      <x:c r="D88" s="20" t="str">
        <x:v>「鲸吞」击杀普通敌人时，有[H01-1]%概率返还本次饱食强化消耗的食质；单次施法最多返还[H01-2]格。</x:v>
      </x:c>
    </x:row>
    <x:row r="89" ht="84" customHeight="1">
      <x:c r="A89" s="20" t="str">
        <x:v>弥罗</x:v>
      </x:c>
      <x:c r="B89" s="20" t="str">
        <x:v>H02</x:v>
      </x:c>
      <x:c r="C89" s="20" t="str">
        <x:v>越残越香</x:v>
      </x:c>
      <x:c r="D89" s="20" t="str">
        <x:v>「鲸吞」对生命低于最大生命[H02-1]%的敌人，牵引距离提高[H02-2]%，最终伤害提高[H02-3]%；Boss只获得伤害增幅，不受额外牵引。</x:v>
      </x:c>
    </x:row>
    <x:row r="90" ht="84" customHeight="1">
      <x:c r="A90" s="20" t="str">
        <x:v>弥罗</x:v>
      </x:c>
      <x:c r="B90" s="20" t="str">
        <x:v>H03</x:v>
      </x:c>
      <x:c r="C90" s="20" t="str">
        <x:v>隔夜饭</x:v>
      </x:c>
      <x:c r="D90" s="20" t="str">
        <x:v>「反刍炮」爆炸后，在半径[H03-1]米内留下持续[H03-2]秒的胃液；每隔[H03-3]秒对其中敌人造成[H03-4]+[H03-5]%AP普通伤害。</x:v>
      </x:c>
    </x:row>
    <x:row r="91" ht="84" customHeight="1">
      <x:c r="A91" s="20" t="str">
        <x:v>弥罗</x:v>
      </x:c>
      <x:c r="B91" s="20" t="str">
        <x:v>H04</x:v>
      </x:c>
      <x:c r="C91" s="20" t="str">
        <x:v>再嚼一遍</x:v>
      </x:c>
      <x:c r="D91" s="20" t="str">
        <x:v>饱食强化的「反刍炮」爆炸后分裂出[H04-1]颗食质球，分别追踪[H04-2]米内的敌人，以[H04-3]米/秒飞行；每颗命中后在半径[H04-4]米内造成[H04-5]+[H04-6]%AP普通伤害。</x:v>
      </x:c>
    </x:row>
    <x:row r="92" ht="84" customHeight="1">
      <x:c r="A92" s="20" t="str">
        <x:v>弥罗</x:v>
      </x:c>
      <x:c r="B92" s="20" t="str">
        <x:v>H05</x:v>
      </x:c>
      <x:c r="C92" s="20" t="str">
        <x:v>胃里有海</x:v>
      </x:c>
      <x:c r="D92" s="20" t="str">
        <x:v>「胃海翻腾」每圈命中至少[H05-1]名敌人时，使本次技能下一圈半径提高[H05-2]%、伤害提高[H05-3]%。</x:v>
      </x:c>
    </x:row>
    <x:row r="93" ht="84" customHeight="1">
      <x:c r="A93" s="20" t="str">
        <x:v>弥罗</x:v>
      </x:c>
      <x:c r="B93" s="20" t="str">
        <x:v>H06</x:v>
      </x:c>
      <x:c r="C93" s="20" t="str">
        <x:v>饿</x:v>
      </x:c>
      <x:c r="D93" s="20" t="str">
        <x:v>「胃海翻腾」某圈没有命中敌人时，使本次技能下一圈半径提高[H06-1]%、伤害提高[H06-2]%。</x:v>
      </x:c>
    </x:row>
    <x:row r="94" ht="84" customHeight="1">
      <x:c r="A94" s="20" t="str">
        <x:v>弥罗</x:v>
      </x:c>
      <x:c r="B94" s="20" t="str">
        <x:v>H07</x:v>
      </x:c>
      <x:c r="C94" s="20" t="str">
        <x:v>假肚子真能吃</x:v>
      </x:c>
      <x:c r="D94" s="20" t="str">
        <x:v>「蜕腹」的诱饵每承受相当于弥罗最大生命[H07-1]%的伤害，有[H07-2]%概率为弥罗生成[H07-3]格食质；单次诱饵最多生成[H07-4]格。</x:v>
      </x:c>
    </x:row>
    <x:row r="95" ht="84" customHeight="1">
      <x:c r="A95" s="20" t="str">
        <x:v>弥罗</x:v>
      </x:c>
      <x:c r="B95" s="20" t="str">
        <x:v>H08</x:v>
      </x:c>
      <x:c r="C95" s="20" t="str">
        <x:v>炸膛</x:v>
      </x:c>
      <x:c r="D95" s="20" t="str">
        <x:v>「蜕腹」的胃膜诱饵被敌人提前打破时，终爆伤害变为原效果的[H08-1]倍。</x:v>
      </x:c>
    </x:row>
    <x:row r="96" ht="84" customHeight="1">
      <x:c r="A96" s="20" t="str">
        <x:v>弥罗</x:v>
      </x:c>
      <x:c r="B96" s="20" t="str">
        <x:v>H09</x:v>
      </x:c>
      <x:c r="C96" s="20" t="str">
        <x:v>什么都能吃</x:v>
      </x:c>
      <x:c r="D96" s="20" t="str">
        <x:v>「吞害」额外吞掉吞害区域内生命低于最大生命[H09-1]%的普通敌人；每成功吞掉敌方投射物或普通敌人，额外恢复[H09-2]%最大生命值。</x:v>
      </x:c>
    </x:row>
    <x:row r="97" ht="84" customHeight="1">
      <x:c r="A97" s="20" t="str">
        <x:v>弥罗</x:v>
      </x:c>
      <x:c r="B97" s="20" t="str">
        <x:v>H10</x:v>
      </x:c>
      <x:c r="C97" s="20" t="str">
        <x:v>原路奉还</x:v>
      </x:c>
      <x:c r="D97" s="20" t="str">
        <x:v>饱食强化的「吞害」每吞入一枚投射物，使结束冲击波额外造成[H10-1]+[H10-2]%AP普通伤害，最多计入[H10-3]枚。</x:v>
      </x:c>
    </x:row>
    <x:row r="98" ht="84" customHeight="1">
      <x:c r="A98" s="20" t="str">
        <x:v>弥罗</x:v>
      </x:c>
      <x:c r="B98" s="20" t="str">
        <x:v>H11</x:v>
      </x:c>
      <x:c r="C98" s="20" t="str">
        <x:v>细嚼慢咽</x:v>
      </x:c>
      <x:c r="D98" s="20" t="str">
        <x:v>「消化」改为持续[H11-1]秒、每隔[H11-2]秒消耗一格食质，不超过当前可消耗上限；总治疗效率提高[H11-3]%，期间可以正常战斗。</x:v>
      </x:c>
    </x:row>
    <x:row r="99" ht="84" customHeight="1">
      <x:c r="A99" s="20" t="str">
        <x:v>弥罗</x:v>
      </x:c>
      <x:c r="B99" s="20" t="str">
        <x:v>H12</x:v>
      </x:c>
      <x:c r="C99" s="20" t="str">
        <x:v>更多消化</x:v>
      </x:c>
      <x:c r="D99" s="20" t="str">
        <x:v>「消化」可消耗全部持有食质，治疗量提高[H12-1]%。</x:v>
      </x:c>
    </x:row>
    <x:row r="100" ht="84" customHeight="1">
      <x:c r="A100" s="20" t="str">
        <x:v>弥罗</x:v>
      </x:c>
      <x:c r="B100" s="20" t="str">
        <x:v>H13</x:v>
      </x:c>
      <x:c r="C100" s="20" t="str">
        <x:v>百无禁忌</x:v>
      </x:c>
      <x:c r="D100" s="20" t="str">
        <x:v>「暴食天灾」期间获得新食质时，改为每格恢复[H13-1]%最大生命值。</x:v>
      </x:c>
    </x:row>
    <x:row r="101" ht="84" customHeight="1">
      <x:c r="A101" s="20" t="str">
        <x:v>弥罗</x:v>
      </x:c>
      <x:c r="B101" s="20" t="str">
        <x:v>H14</x:v>
      </x:c>
      <x:c r="C101" s="20" t="str">
        <x:v>饕餮无底</x:v>
      </x:c>
      <x:c r="D101" s="20" t="str">
        <x:v>「暴食天灾」结束时，将食质恢复至当前上限。</x:v>
      </x:c>
    </x:row>
    <x:row r="102" ht="84" customHeight="1">
      <x:c r="A102" s="20" t="str">
        <x:v>弥罗</x:v>
      </x:c>
      <x:c r="B102" s="20" t="str">
        <x:v>H15</x:v>
      </x:c>
      <x:c r="C102" s="20" t="str">
        <x:v>肚里乾坤</x:v>
      </x:c>
      <x:c r="D102" s="20" t="str">
        <x:v>「吞天」的普通敌人吞入上限增加[H15-1]名；每吞入一名普通敌人，使终爆半径增加[H15-2]米，最多增加[H15-3]米。</x:v>
      </x:c>
    </x:row>
    <x:row r="103" ht="84" customHeight="1">
      <x:c r="A103" s="20" t="str">
        <x:v>弥罗</x:v>
      </x:c>
      <x:c r="B103" s="20" t="str">
        <x:v>H16</x:v>
      </x:c>
      <x:c r="C103" s="20" t="str">
        <x:v>吃不下也得吃</x:v>
      </x:c>
      <x:c r="D103" s="20" t="str">
        <x:v>「吞天」面对单一Boss时，持续阶段每完整命中[H16-1]秒，使终爆对该Boss的最终伤害提高[H16-2]%，最多叠加[H16-3]层。</x:v>
      </x:c>
    </x:row>
    <x:row r="104" ht="84" customHeight="1">
      <x:c r="A104" s="20" t="str">
        <x:v>通用</x:v>
      </x:c>
      <x:c r="B104" s="20" t="str">
        <x:v>G01</x:v>
      </x:c>
      <x:c r="C104" s="20" t="str">
        <x:v>法术暴击</x:v>
      </x:c>
      <x:c r="D104" s="20" t="str">
        <x:v>主动技能造成的普通伤害可以按自身暴击率与暴击伤害规则暴击。真实伤害不因此获得暴击；已拥有技能暴击资格的伤害不会重复判定。</x:v>
      </x:c>
    </x:row>
    <x:row r="105" ht="84" customHeight="1">
      <x:c r="A105" s="20" t="str">
        <x:v>通用</x:v>
      </x:c>
      <x:c r="B105" s="20" t="str">
        <x:v>G02</x:v>
      </x:c>
      <x:c r="C105" s="20" t="str">
        <x:v>舍远求近</x:v>
      </x:c>
      <x:c r="D105" s="20" t="str">
        <x:v>远程英雄普通攻击距离改为[G02-1]米，攻击力提高[G02-2]%、最大生命值提高[G02-3]%、攻击速度提高[G02-4]%，并获得[G02-5]%吸血。仅远程英雄进入候选池。</x:v>
      </x:c>
    </x:row>
    <x:row r="106" ht="84" customHeight="1">
      <x:c r="A106" s="20" t="str">
        <x:v>通用</x:v>
      </x:c>
      <x:c r="B106" s="20" t="str">
        <x:v>G03</x:v>
      </x:c>
      <x:c r="C106" s="20" t="str">
        <x:v>不稳定实验体</x:v>
      </x:c>
      <x:c r="D106" s="20" t="str">
        <x:v>每个战斗房开始时，按[G03-1]%概率进入巨型形态，否则进入微型形态，本场保持不变。巨型形态的模型尺寸变为[G03-2]倍，最大生命提高[G03-3]%，最终伤害提高[G03-4]%；微型形态的模型尺寸变为[G03-5]倍，移动速度提高[G03-6]%，冷却缩减提高[G03-7]%。</x:v>
      </x:c>
    </x:row>
    <x:row r="107" ht="84" customHeight="1">
      <x:c r="A107" s="20" t="str">
        <x:v>通用</x:v>
      </x:c>
      <x:c r="B107" s="20" t="str">
        <x:v>G04</x:v>
      </x:c>
      <x:c r="C107" s="20" t="str">
        <x:v>越战越大</x:v>
      </x:c>
      <x:c r="D107" s="20" t="str">
        <x:v>每参与击杀[G04-1]名普通敌人，获得一层成长；每层提高[G04-2]%最大生命值与[G04-3]%模型尺寸，最多[G04-4]层。真正死亡时失去当前层数的[G04-5]%，被救起的倒地不扣层。</x:v>
      </x:c>
    </x:row>
    <x:row r="108" ht="84" customHeight="1">
      <x:c r="A108" s="20" t="str">
        <x:v>通用</x:v>
      </x:c>
      <x:c r="B108" s="20" t="str">
        <x:v>G05</x:v>
      </x:c>
      <x:c r="C108" s="20" t="str">
        <x:v>无限冷却</x:v>
      </x:c>
      <x:c r="D108" s="20" t="str">
        <x:v>立即获得[G05-1]%冷却缩减；之后每参与击杀[G05-2]名普通敌人、或击败精英或Boss，分别增加[G05-3]%、[G05-4]%、[G05-5]%冷却缩减。本效果计入全局冷却缩减上限。</x:v>
      </x:c>
    </x:row>
    <x:row r="109" ht="84" customHeight="1">
      <x:c r="A109" s="20" t="str">
        <x:v>通用</x:v>
      </x:c>
      <x:c r="B109" s="20" t="str">
        <x:v>G06</x:v>
      </x:c>
      <x:c r="C109" s="20" t="str">
        <x:v>极速杀手</x:v>
      </x:c>
      <x:c r="D109" s="20" t="str">
        <x:v>自身移动速度属性高于目标时，每高出[G06-1]米/秒，对其造成的最终伤害提高[G06-2]%，最多提高[G06-3]%。比较双方移动速度属性，不使用当前实际位移速度。</x:v>
      </x:c>
    </x:row>
    <x:row r="110" ht="84" customHeight="1">
      <x:c r="A110" s="20" t="str">
        <x:v>通用</x:v>
      </x:c>
      <x:c r="B110" s="20" t="str">
        <x:v>G07</x:v>
      </x:c>
      <x:c r="C110" s="20" t="str">
        <x:v>越闪越硬</x:v>
      </x:c>
      <x:c r="D110" s="20" t="str">
        <x:v>使用Shift或位移技能完成主动位移后，获得一层持续[G07-1]秒的疾驰防护；每层提高[G07-2]点防御力和[G07-3]%韧性，最多[G07-4]层。一次多段技能最多提供[G07-5]层，再次获得时刷新持续时间。</x:v>
      </x:c>
    </x:row>
    <x:row r="111" ht="84" customHeight="1">
      <x:c r="A111" s="20" t="str">
        <x:v>通用</x:v>
      </x:c>
      <x:c r="B111" s="20" t="str">
        <x:v>G08</x:v>
      </x:c>
      <x:c r="C111" s="20" t="str">
        <x:v>位移专精</x:v>
      </x:c>
      <x:c r="D111" s="20" t="str">
        <x:v>带有主动位移效果的非终极主动技能，基础冷却缩短[G08-1]%。不影响Shift，也不缩短大招冷却。</x:v>
      </x:c>
    </x:row>
    <x:row r="112" ht="84" customHeight="1">
      <x:c r="A112" s="20" t="str">
        <x:v>通用</x:v>
      </x:c>
      <x:c r="B112" s="20" t="str">
        <x:v>G09</x:v>
      </x:c>
      <x:c r="C112" s="20" t="str">
        <x:v>最终形态</x:v>
      </x:c>
      <x:c r="D112" s="20" t="str">
        <x:v>大招启动演出结束后，获得[G09-1]%最大生命值的护盾、[G09-2]%吸血与[G09-3]%移动速度，持续[G09-4]秒。一次大招的多次续放不重复触发。</x:v>
      </x:c>
    </x:row>
    <x:row r="113" ht="84" customHeight="1">
      <x:c r="A113" s="20" t="str">
        <x:v>通用</x:v>
      </x:c>
      <x:c r="B113" s="20" t="str">
        <x:v>G10</x:v>
      </x:c>
      <x:c r="C113" s="20" t="str">
        <x:v>战魂</x:v>
      </x:c>
      <x:c r="D113" s="20" t="str">
        <x:v>每参与击杀[G10-1]名普通敌人，或击败精英，在对应敌人死亡位置生成持续[G10-2]秒的战魂；触碰后重置已学习的非终极主动技能，并获得[G10-3]%移动速度，持续[G10-4]秒。战魂生成间隔不低于[G10-5]秒，拾取半径[G10-6]米。</x:v>
      </x:c>
    </x:row>
    <x:row r="114" ht="84" customHeight="1">
      <x:c r="A114" s="20" t="str">
        <x:v>通用</x:v>
      </x:c>
      <x:c r="B114" s="20" t="str">
        <x:v>G11</x:v>
      </x:c>
      <x:c r="C114" s="20" t="str">
        <x:v>飞出去！</x:v>
      </x:c>
      <x:c r="D114" s="20" t="str">
        <x:v>直接伤害命中生命低于最大生命[G11-1]%的普通敌人时，将其处决并沿攻击方向发射为尸体炮弹。炮弹以[G11-2]米/秒飞行，最大距离[G11-3]米；撞到敌人、墙壁或到达终点时，在半径[G11-4]米内造成[G11-5]+[G11-6]%AD+[G11-7]%AP普通伤害。爆炸命中符合处决条件的普通敌人可以继续连锁，同一链最多触发[G11-8]次。精英与Boss不被处决或发射，但可以受到爆炸伤害。</x:v>
      </x:c>
    </x:row>
    <x:row r="115" ht="84" customHeight="1">
      <x:c r="A115" s="20" t="str">
        <x:v>通用</x:v>
      </x:c>
      <x:c r="B115" s="20" t="str">
        <x:v>G12</x:v>
      </x:c>
      <x:c r="C115" s="20" t="str">
        <x:v>超远程火力支援</x:v>
      </x:c>
      <x:c r="D115" s="20" t="str">
        <x:v>任务：从距离至少[G12-1]米处，用主动技能命中敌人累计[G12-2]次。完成后，满足距离要求的技能命中会在目标位置呼叫轰炸；延迟[G12-3]秒后，对半径[G12-4]米内敌人造成[G12-5]+[G12-6]%AD+[G12-7]%AP普通伤害。每[G12-8]秒最多触发一次。</x:v>
      </x:c>
    </x:row>
    <x:row r="116" ht="84" customHeight="1">
      <x:c r="A116" s="20" t="str">
        <x:v>通用</x:v>
      </x:c>
      <x:c r="B116" s="20" t="str">
        <x:v>G13</x:v>
      </x:c>
      <x:c r="C116" s="20" t="str">
        <x:v>救援核心</x:v>
      </x:c>
      <x:c r="D116" s="20" t="str">
        <x:v>对自身或队友产生有效治疗，以及所提供护盾实际吸收伤害时，按有效数值的[G13-1]%积累救援能量。能量达到自身最大生命值[G13-2]%时消耗全部能量，治疗[G13-3]米内生命比例最低的友方[G13-4]%该目标最大生命值，并为其半径[G13-5]米内的友方提供相当于施法者最大生命[G13-6]%的护盾，持续[G13-7]秒。触发内置冷却[G13-8]秒，本效果不为自身再次充能。</x:v>
      </x:c>
    </x:row>
    <x:row r="117" ht="84" customHeight="1">
      <x:c r="A117" s="20" t="str">
        <x:v>通用</x:v>
      </x:c>
      <x:c r="B117" s="20" t="str">
        <x:v>G14</x:v>
      </x:c>
      <x:c r="C117" s="20" t="str">
        <x:v>缩小射线</x:v>
      </x:c>
      <x:c r="D117" s="20" t="str">
        <x:v>普通攻击命中普通敌人时，施加一层缩小，最多[G14-1]层，持续[G14-2]秒。每层使模型与碰撞尺寸降低[G14-3]%、造成伤害降低[G14-4]%、抗击退能力降低[G14-5]%。对精英与Boss不改变尺寸与位移抗性，只降低伤害，最高降低[G14-6]%。</x:v>
      </x:c>
    </x:row>
    <x:row r="118" ht="84" customHeight="1">
      <x:c r="A118" s="20" t="str">
        <x:v>通用</x:v>
      </x:c>
      <x:c r="B118" s="20" t="str">
        <x:v>G15</x:v>
      </x:c>
      <x:c r="C118" s="20" t="str">
        <x:v>冷却即速度</x:v>
      </x:c>
      <x:c r="D118" s="20" t="str">
        <x:v>每拥有[G15-1]%冷却缩减，获得[G15-2]%移动速度；只按实际生效、未溢出的冷却缩减计算。</x:v>
      </x:c>
    </x:row>
    <x:row r="119" ht="84" customHeight="1">
      <x:c r="A119" s="20" t="str">
        <x:v>通用</x:v>
      </x:c>
      <x:c r="B119" s="20" t="str">
        <x:v>G16</x:v>
      </x:c>
      <x:c r="C119" s="20" t="str">
        <x:v>火力附肢</x:v>
      </x:c>
      <x:c r="D119" s="20" t="str">
        <x:v>非终极主动技能首次造成有效伤害时，自动向[G16-1]米内敌人发射[G16-2]枚追踪弹；每拥有[G16-3]%暴击率，额外发射[G16-4]枚，最多[G16-5]枚。单枚造成[G16-6]+[G16-7]%AD+[G16-8]%AP普通伤害，飞行速度[G16-9]米/秒。每次完整施法最多触发一次，导弹不递归触发本效果。</x:v>
      </x:c>
    </x:row>
    <x:row r="120" ht="84" customHeight="1">
      <x:c r="A120" s="20" t="str">
        <x:v>通用</x:v>
      </x:c>
      <x:c r="B120" s="20" t="str">
        <x:v>G17</x:v>
      </x:c>
      <x:c r="C120" s="20" t="str">
        <x:v>修业有成</x:v>
      </x:c>
      <x:c r="D120" s="20" t="str">
        <x:v>任务：本局累计完成[G17-1]种不同装备的技能点任务。完成后额外获得[G17-2]个本局技能点；此前已完成的不同装备任务计入进度，同一任务只统计一次，奖励仍受本局技能点总上限限制。</x:v>
      </x:c>
    </x:row>
    <x:row r="121" ht="84" customHeight="1">
      <x:c r="A121" s="20" t="str">
        <x:v>通用</x:v>
      </x:c>
      <x:c r="B121" s="20" t="str">
        <x:v>G18</x:v>
      </x:c>
      <x:c r="C121" s="20" t="str">
        <x:v>杀不完</x:v>
      </x:c>
      <x:c r="D121" s="20" t="str">
        <x:v>每参与击杀[G18-1]名普通敌人，获得一次重放机会。下一次可重放的非终极主动技能在原施法完成后[G18-2]秒追加释放，重放伤害与治疗为原效果的[G18-3]%，不消耗资源、不重新触发施法类海克斯。只重放可独立执行的伤害或治疗段，不复制场地物件、召唤物、角色分身或持续形态。</x:v>
      </x:c>
    </x:row>
    <x:row r="122" ht="84" customHeight="1">
      <x:c r="A122" s="20" t="str">
        <x:v>通用</x:v>
      </x:c>
      <x:c r="B122" s="20" t="str">
        <x:v>G19</x:v>
      </x:c>
      <x:c r="C122" s="20" t="str">
        <x:v>老板来了</x:v>
      </x:c>
      <x:c r="D122" s="20" t="str">
        <x:v>进入精英或Boss战、战斗正式开始时，重置已学习的非终极主动技能，并获得[G19-1]%攻击力与[G19-2]%法术强度，持续[G19-3]秒。普通战斗房不触发。</x:v>
      </x:c>
    </x:row>
    <x:row r="123" ht="84" customHeight="1">
      <x:c r="A123" s="20" t="str">
        <x:v>通用</x:v>
      </x:c>
      <x:c r="B123" s="20" t="str">
        <x:v>G20</x:v>
      </x:c>
      <x:c r="C123" s="20" t="str">
        <x:v>越来越离谱</x:v>
      </x:c>
      <x:c r="D123" s="20" t="str">
        <x:v>每通关一个大层，从已选择且具有可强化参数的其他通用海克斯中随机选择一个，使其指定强化参数提升[G20-1]%。同一海克斯最多被强化[G20-2]次；不得改变已禁用的规则、触发递归限制或全局属性硬上限。</x:v>
      </x:c>
    </x:row>
    <x:row r="124" ht="84" customHeight="1">
      <x:c r="A124" s="20" t="str">
        <x:v>通用</x:v>
      </x:c>
      <x:c r="B124" s="20" t="str">
        <x:v>G21</x:v>
      </x:c>
      <x:c r="C124" s="20" t="str">
        <x:v>超额投资</x:v>
      </x:c>
      <x:c r="D124" s="20" t="str">
        <x:v>装备栏持有满槽成装后，每在锻体中累计消耗[G21-1]金币，随机选择一件当前成装，使其提供的基础属性提高[G21-2]%，同一件最多强化[G21-3]次。只提高该成装已有的基础属性，不增加随机词条或新被动。</x:v>
      </x:c>
    </x:row>
    <x:row r="125" ht="84" customHeight="1">
      <x:c r="A125" s="20" t="str">
        <x:v>通用</x:v>
      </x:c>
      <x:c r="B125" s="20" t="str">
        <x:v>G22</x:v>
      </x:c>
      <x:c r="C125" s="20" t="str">
        <x:v>以多欺少／以少打多</x:v>
      </x:c>
      <x:c r="D125" s="20" t="str">
        <x:v>场上存活敌人不少于[G22-1]名时，范围伤害提高[G22-2]%，吸血提高[G22-3]%；场上仅剩单个精英或Boss时，改为对其最终伤害提高[G22-4]%，并获得[G22-5]点穿甲。两种状态不同时生效。</x:v>
      </x:c>
    </x:row>
    <x:row r="126" ht="84" customHeight="1">
      <x:c r="A126" s="20" t="str">
        <x:v>通用</x:v>
      </x:c>
      <x:c r="B126" s="20" t="str">
        <x:v>G23</x:v>
      </x:c>
      <x:c r="C126" s="20" t="str">
        <x:v>血瓶轰炸</x:v>
      </x:c>
      <x:c r="D126" s="20" t="str">
        <x:v>战斗中使用血瓶时，在自身半径[G23-1]米内引发冲击，造成[G23-2]+[G23-3]%AD+[G23-4]%AP普通伤害。血瓶仍保留原治疗效果，非战斗状态使用不产生攻击。</x:v>
      </x:c>
    </x:row>
    <x:row r="127" ht="84" customHeight="1">
      <x:c r="A127" s="20" t="str">
        <x:v>通用</x:v>
      </x:c>
      <x:c r="B127" s="20" t="str">
        <x:v>G24</x:v>
      </x:c>
      <x:c r="C127" s="20" t="str">
        <x:v>轻装上阵</x:v>
      </x:c>
      <x:c r="D127" s="20" t="str">
        <x:v>每空置一个装备槽，最终伤害提高[G24-1]%，最大生命值提高[G24-2]%；最多计算[G24-3]个空槽。装备栏变化后立即重算，锻体不占用装备槽。</x:v>
      </x:c>
    </x:row>
    <x:row r="128" ht="84" customHeight="1">
      <x:c r="A128" s="20" t="str">
        <x:v>通用</x:v>
      </x:c>
      <x:c r="B128" s="20" t="str">
        <x:v>G25</x:v>
      </x:c>
      <x:c r="C128" s="20" t="str">
        <x:v>血铸法器</x:v>
      </x:c>
      <x:c r="D128" s="20" t="str">
        <x:v>非终极主动技能每次完整施法额外消耗[G25-1]%当前生命值，并使该次技能伤害额外增加自身最大生命值的[G25-2]%。一次持续或多段技能按完整施法分配追加伤害，不按每次跳伤重复追加。该生命消耗不会致死，不触发承伤与反伤效果。</x:v>
      </x:c>
    </x:row>
    <x:row r="129" ht="84" customHeight="1">
      <x:c r="A129" s="20" t="str">
        <x:v>通用</x:v>
      </x:c>
      <x:c r="B129" s="20" t="str">
        <x:v>G26</x:v>
      </x:c>
      <x:c r="C129" s="20" t="str">
        <x:v>破盾反冲</x:v>
      </x:c>
      <x:c r="D129" s="20" t="str">
        <x:v>由自己提供的护盾被敌方伤害完全打破时，以护盾持有者为中心引发半径[G26-1]米的冲击，造成该护盾初始数值[G26-2]%的普通伤害，最多造成施法者最大生命值[G26-3]%的伤害，并击退普通敌人[G26-4]米。同一持有者每[G26-5]秒最多触发一次；自然到期与替换护盾不触发。</x:v>
      </x:c>
    </x:row>
    <x:row r="130" ht="84" customHeight="1">
      <x:c r="A130" s="20" t="str">
        <x:v>通用</x:v>
      </x:c>
      <x:c r="B130" s="20" t="str">
        <x:v>G27</x:v>
      </x:c>
      <x:c r="C130" s="20" t="str">
        <x:v>组件专家</x:v>
      </x:c>
      <x:c r="D130" s="20" t="str">
        <x:v>未合成为最终装备的基础与中级组件，其提供的基础属性提高[G27-1]%。只强化最外层持有的组件，不重复计算其合成树内的材料；合成成装后对应增益消失。</x:v>
      </x:c>
    </x:row>
    <x:row r="131" ht="84" customHeight="1">
      <x:c r="A131" s="20" t="str">
        <x:v>通用</x:v>
      </x:c>
      <x:c r="B131" s="20" t="str">
        <x:v>G28</x:v>
      </x:c>
      <x:c r="C131" s="20" t="str">
        <x:v>断后炮台</x:v>
      </x:c>
      <x:c r="D131" s="20" t="str">
        <x:v>Shift结束时，在冲刺起点留下自动炮台，存在[G28-1]秒，每隔[G28-2]秒向[G28-3]米内最近敌人发射炮弹，造成[G28-4]+[G28-5]%AD+[G28-6]%AP普通伤害。最多同时存在[G28-7]座，生成间隔不低于[G28-8]秒；炮台不复制英雄技能，不触发施法、普攻次数与召唤递归效果。</x:v>
      </x:c>
    </x:row>
    <x:row r="132" ht="84" customHeight="1">
      <x:c r="A132" s="20" t="str">
        <x:v>通用</x:v>
      </x:c>
      <x:c r="B132" s="20" t="str">
        <x:v>G29</x:v>
      </x:c>
      <x:c r="C132" s="20" t="str">
        <x:v>缓伤酒</x:v>
      </x:c>
      <x:c r="D132" s="20" t="str">
        <x:v>受到直接伤害时，将其中[G29-1]%延后至[G29-2]秒内均匀扣除，其余立即结算。延后伤害不再次减伤、不再次延后、不触发承伤反伤；战斗结束后未扣完的伤害随战斗状态冻结，下一场继续结算。</x:v>
      </x:c>
    </x:row>
    <x:row r="133" ht="84" customHeight="1">
      <x:c r="A133" s="20" t="str">
        <x:v>通用</x:v>
      </x:c>
      <x:c r="B133" s="20" t="str">
        <x:v>G30</x:v>
      </x:c>
      <x:c r="C133" s="20" t="str">
        <x:v>囤金战甲</x:v>
      </x:c>
      <x:c r="D133" s="20" t="str">
        <x:v>每持有[G30-1]金币，获得[G30-2]点防御力与[G30-3]点最大生命值，最多计算[G30-4]金币。不消耗金币，花费或获得金币后立即重算。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7e321fdd33734cd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33" hidden="0" customWidth="1"/>
    <x:col min="4" max="4" width="1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5" hidden="0" customWidth="1"/>
    <x:col min="17" max="17" width="55" hidden="0" customWidth="1"/>
  </x:cols>
  <x:sheetData>
    <x:row r="1" ht="36" customHeight="1">
      <x:c r="A1" s="7" t="str">
        <x:v>技能成长｜可编辑基准检算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</x:row>
    <x:row r="2" ht="30" customHeight="1">
      <x:c r="A2" s="11" t="str">
        <x:v>仅比较同技能的等级投入；未经防御结算，不含海克斯/装备联动。浅黄为后段成长，P/R强化点成本不在伤害公式中。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  <x:row r="3" ht="24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8" customHeight="1">
      <x:c r="A4" s="16" t="str">
        <x:v>英雄</x:v>
      </x:c>
      <x:c r="B4" s="16" t="str">
        <x:v>技能</x:v>
      </x:c>
      <x:c r="C4" s="16" t="str">
        <x:v>检算指标</x:v>
      </x:c>
      <x:c r="D4" s="16" t="str">
        <x:v>单位</x:v>
      </x:c>
      <x:c r="E4" s="16" t="str">
        <x:v>Lv1</x:v>
      </x:c>
      <x:c r="F4" s="16" t="str">
        <x:v>Lv2</x:v>
      </x:c>
      <x:c r="G4" s="16" t="str">
        <x:v>Lv3</x:v>
      </x:c>
      <x:c r="H4" s="16" t="str">
        <x:v>Lv4</x:v>
      </x:c>
      <x:c r="I4" s="16" t="str">
        <x:v>Lv5</x:v>
      </x:c>
      <x:c r="J4" s="16" t="str">
        <x:v>Lv6</x:v>
      </x:c>
      <x:c r="K4" s="16" t="str">
        <x:v>2－1</x:v>
      </x:c>
      <x:c r="L4" s="16" t="str">
        <x:v>3－2</x:v>
      </x:c>
      <x:c r="M4" s="16" t="str">
        <x:v>4－3</x:v>
      </x:c>
      <x:c r="N4" s="16" t="str">
        <x:v>5－4</x:v>
      </x:c>
      <x:c r="O4" s="16" t="str">
        <x:v>6－5</x:v>
      </x:c>
      <x:c r="P4" s="16" t="str">
        <x:v>满级增幅</x:v>
      </x:c>
      <x:c r="Q4" s="16" t="str">
        <x:v>检算边界</x:v>
      </x:c>
    </x:row>
    <x:row r="5" ht="39" customHeight="1">
      <x:c r="A5" s="20" t="str">
        <x:v>风厉</x:v>
      </x:c>
      <x:c r="B5" s="20" t="str">
        <x:v>Q1｜连杀突刺</x:v>
      </x:c>
      <x:c r="C5" s="20" t="str">
        <x:v>未叠层单次伤害</x:v>
      </x:c>
      <x:c r="D5" s="20" t="str">
        <x:v>点</x:v>
      </x:c>
      <x:c r="E5" s="42" t="n">
        <x:f>('风厉技能'!$E$5+'风厉技能'!$E$6/'检算基准'!$B$10*'检算基准'!$B$5)</x:f>
        <x:v>135</x:v>
      </x:c>
      <x:c r="F5" s="42" t="n">
        <x:f>('风厉技能'!$F$5+'风厉技能'!$F$6/'检算基准'!$B$10*'检算基准'!$B$5)</x:f>
        <x:v>156</x:v>
      </x:c>
      <x:c r="G5" s="42" t="n">
        <x:f>('风厉技能'!$G$5+'风厉技能'!$G$6/'检算基准'!$B$10*'检算基准'!$B$5)</x:f>
        <x:v>188</x:v>
      </x:c>
      <x:c r="H5" s="46" t="n">
        <x:f>('风厉技能'!$H$5+'风厉技能'!$H$6/'检算基准'!$B$10*'检算基准'!$B$5)</x:f>
        <x:v>241</x:v>
      </x:c>
      <x:c r="I5" s="46" t="n">
        <x:f>('风厉技能'!$I$5+'风厉技能'!$I$6/'检算基准'!$B$10*'检算基准'!$B$5)</x:f>
        <x:v>313</x:v>
      </x:c>
      <x:c r="J5" s="46" t="n">
        <x:f>('风厉技能'!$J$5+'风厉技能'!$J$6/'检算基准'!$B$10*'检算基准'!$B$5)</x:f>
        <x:v>400</x:v>
      </x:c>
      <x:c r="K5" s="42" t="n">
        <x:f>F5-E5</x:f>
        <x:v>21</x:v>
      </x:c>
      <x:c r="L5" s="42" t="n">
        <x:f>G5-F5</x:f>
        <x:v>32</x:v>
      </x:c>
      <x:c r="M5" s="42" t="n">
        <x:f>H5-G5</x:f>
        <x:v>53</x:v>
      </x:c>
      <x:c r="N5" s="42" t="n">
        <x:f>I5-H5</x:f>
        <x:v>72</x:v>
      </x:c>
      <x:c r="O5" s="42" t="n">
        <x:f>J5-I5</x:f>
        <x:v>87</x:v>
      </x:c>
      <x:c r="P5" s="43" t="n">
        <x:f>IFERROR(J5/E5-1,0)</x:f>
        <x:v>1.9629629629629628</x:v>
      </x:c>
      <x:c r="Q5" s="20" t="str"/>
    </x:row>
    <x:row r="6" ht="39" customHeight="1">
      <x:c r="A6" s="20" t="str">
        <x:v>风厉</x:v>
      </x:c>
      <x:c r="B6" s="20" t="str">
        <x:v>Q2｜多目标连续突袭</x:v>
      </x:c>
      <x:c r="C6" s="20" t="str">
        <x:v>单次突袭伤害</x:v>
      </x:c>
      <x:c r="D6" s="20" t="str">
        <x:v>点</x:v>
      </x:c>
      <x:c r="E6" s="42" t="n">
        <x:f>('风厉技能'!$E$17+'风厉技能'!$E$18/'检算基准'!$B$10*'检算基准'!$B$5)</x:f>
        <x:v>165</x:v>
      </x:c>
      <x:c r="F6" s="42" t="n">
        <x:f>('风厉技能'!$F$17+'风厉技能'!$F$18/'检算基准'!$B$10*'检算基准'!$B$5)</x:f>
        <x:v>186</x:v>
      </x:c>
      <x:c r="G6" s="42" t="n">
        <x:f>('风厉技能'!$G$17+'风厉技能'!$G$18/'检算基准'!$B$10*'检算基准'!$B$5)</x:f>
        <x:v>216</x:v>
      </x:c>
      <x:c r="H6" s="46" t="n">
        <x:f>('风厉技能'!$H$17+'风厉技能'!$H$18/'检算基准'!$B$10*'检算基准'!$B$5)</x:f>
        <x:v>267</x:v>
      </x:c>
      <x:c r="I6" s="46" t="n">
        <x:f>('风厉技能'!$I$17+'风厉技能'!$I$18/'检算基准'!$B$10*'检算基准'!$B$5)</x:f>
        <x:v>336</x:v>
      </x:c>
      <x:c r="J6" s="46" t="n">
        <x:f>('风厉技能'!$J$17+'风厉技能'!$J$18/'检算基准'!$B$10*'检算基准'!$B$5)</x:f>
        <x:v>420</x:v>
      </x:c>
      <x:c r="K6" s="42" t="n">
        <x:f>F6-E6</x:f>
        <x:v>21</x:v>
      </x:c>
      <x:c r="L6" s="42" t="n">
        <x:f>G6-F6</x:f>
        <x:v>30</x:v>
      </x:c>
      <x:c r="M6" s="42" t="n">
        <x:f>H6-G6</x:f>
        <x:v>51</x:v>
      </x:c>
      <x:c r="N6" s="42" t="n">
        <x:f>I6-H6</x:f>
        <x:v>69</x:v>
      </x:c>
      <x:c r="O6" s="42" t="n">
        <x:f>J6-I6</x:f>
        <x:v>84</x:v>
      </x:c>
      <x:c r="P6" s="43" t="n">
        <x:f>IFERROR(J6/E6-1,0)</x:f>
        <x:v>1.5454545454545454</x:v>
      </x:c>
      <x:c r="Q6" s="20" t="str">
        <x:v>不乘突袭次数；单Boss基础版仅命中一次。</x:v>
      </x:c>
    </x:row>
    <x:row r="7" ht="39" customHeight="1">
      <x:c r="A7" s="20" t="str">
        <x:v>风厉</x:v>
      </x:c>
      <x:c r="B7" s="20" t="str">
        <x:v>Q3｜长距剑气</x:v>
      </x:c>
      <x:c r="C7" s="20" t="str">
        <x:v>单次剑气伤害</x:v>
      </x:c>
      <x:c r="D7" s="20" t="str">
        <x:v>点</x:v>
      </x:c>
      <x:c r="E7" s="42" t="n">
        <x:f>('风厉技能'!$E$24+'风厉技能'!$E$25/'检算基准'!$B$10*'检算基准'!$B$5)</x:f>
        <x:v>125</x:v>
      </x:c>
      <x:c r="F7" s="42" t="n">
        <x:f>('风厉技能'!$F$24+'风厉技能'!$F$25/'检算基准'!$B$10*'检算基准'!$B$5)</x:f>
        <x:v>147</x:v>
      </x:c>
      <x:c r="G7" s="42" t="n">
        <x:f>('风厉技能'!$G$24+'风厉技能'!$G$25/'检算基准'!$B$10*'检算基准'!$B$5)</x:f>
        <x:v>179</x:v>
      </x:c>
      <x:c r="H7" s="46" t="n">
        <x:f>('风厉技能'!$H$24+'风厉技能'!$H$25/'检算基准'!$B$10*'检算基准'!$B$5)</x:f>
        <x:v>233</x:v>
      </x:c>
      <x:c r="I7" s="46" t="n">
        <x:f>('风厉技能'!$I$24+'风厉技能'!$I$25/'检算基准'!$B$10*'检算基准'!$B$5)</x:f>
        <x:v>306</x:v>
      </x:c>
      <x:c r="J7" s="46" t="n">
        <x:f>('风厉技能'!$J$24+'风厉技能'!$J$25/'检算基准'!$B$10*'检算基准'!$B$5)</x:f>
        <x:v>395</x:v>
      </x:c>
      <x:c r="K7" s="42" t="n">
        <x:f>F7-E7</x:f>
        <x:v>22</x:v>
      </x:c>
      <x:c r="L7" s="42" t="n">
        <x:f>G7-F7</x:f>
        <x:v>32</x:v>
      </x:c>
      <x:c r="M7" s="42" t="n">
        <x:f>H7-G7</x:f>
        <x:v>54</x:v>
      </x:c>
      <x:c r="N7" s="42" t="n">
        <x:f>I7-H7</x:f>
        <x:v>73</x:v>
      </x:c>
      <x:c r="O7" s="42" t="n">
        <x:f>J7-I7</x:f>
        <x:v>89</x:v>
      </x:c>
      <x:c r="P7" s="43" t="n">
        <x:f>IFERROR(J7/E7-1,0)</x:f>
        <x:v>2.16</x:v>
      </x:c>
      <x:c r="Q7" s="20" t="str"/>
    </x:row>
    <x:row r="8" ht="39" customHeight="1">
      <x:c r="A8" s="20" t="str">
        <x:v>风厉</x:v>
      </x:c>
      <x:c r="B8" s="20" t="str">
        <x:v>E1｜匕首标记·二段穿刺</x:v>
      </x:c>
      <x:c r="C8" s="20" t="str">
        <x:v>同目标两段全中</x:v>
      </x:c>
      <x:c r="D8" s="20" t="str">
        <x:v>点</x:v>
      </x:c>
      <x:c r="E8" s="42" t="n">
        <x:f>('风厉技能'!$E$35+'风厉技能'!$E$36/'检算基准'!$B$10*'检算基准'!$B$5)+('风厉技能'!$E$40+'风厉技能'!$E$41/'检算基准'!$B$10*'检算基准'!$B$5)</x:f>
        <x:v>225</x:v>
      </x:c>
      <x:c r="F8" s="42" t="n">
        <x:f>('风厉技能'!$F$35+'风厉技能'!$F$36/'检算基准'!$B$10*'检算基准'!$B$5)+('风厉技能'!$F$40+'风厉技能'!$F$41/'检算基准'!$B$10*'检算基准'!$B$5)</x:f>
        <x:v>259</x:v>
      </x:c>
      <x:c r="G8" s="42" t="n">
        <x:f>('风厉技能'!$G$35+'风厉技能'!$G$36/'检算基准'!$B$10*'检算基准'!$B$5)+('风厉技能'!$G$40+'风厉技能'!$G$41/'检算基准'!$B$10*'检算基准'!$B$5)</x:f>
        <x:v>308</x:v>
      </x:c>
      <x:c r="H8" s="46" t="n">
        <x:f>('风厉技能'!$H$35+'风厉技能'!$H$36/'检算基准'!$B$10*'检算基准'!$B$5)+('风厉技能'!$H$40+'风厉技能'!$H$41/'检算基准'!$B$10*'检算基准'!$B$5)</x:f>
        <x:v>391</x:v>
      </x:c>
      <x:c r="I8" s="46" t="n">
        <x:f>('风厉技能'!$I$35+'风厉技能'!$I$36/'检算基准'!$B$10*'检算基准'!$B$5)+('风厉技能'!$I$40+'风厉技能'!$I$41/'检算基准'!$B$10*'检算基准'!$B$5)</x:f>
        <x:v>504</x:v>
      </x:c>
      <x:c r="J8" s="46" t="n">
        <x:f>('风厉技能'!$J$35+'风厉技能'!$J$36/'检算基准'!$B$10*'检算基准'!$B$5)+('风厉技能'!$J$40+'风厉技能'!$J$41/'检算基准'!$B$10*'检算基准'!$B$5)</x:f>
        <x:v>640</x:v>
      </x:c>
      <x:c r="K8" s="42" t="n">
        <x:f>F8-E8</x:f>
        <x:v>34</x:v>
      </x:c>
      <x:c r="L8" s="42" t="n">
        <x:f>G8-F8</x:f>
        <x:v>49</x:v>
      </x:c>
      <x:c r="M8" s="42" t="n">
        <x:f>H8-G8</x:f>
        <x:v>83</x:v>
      </x:c>
      <x:c r="N8" s="42" t="n">
        <x:f>I8-H8</x:f>
        <x:v>113</x:v>
      </x:c>
      <x:c r="O8" s="42" t="n">
        <x:f>J8-I8</x:f>
        <x:v>136</x:v>
      </x:c>
      <x:c r="P8" s="43" t="n">
        <x:f>IFERROR(J8/E8-1,0)</x:f>
        <x:v>1.8444444444444446</x:v>
      </x:c>
      <x:c r="Q8" s="20" t="str"/>
    </x:row>
    <x:row r="9" ht="39" customHeight="1">
      <x:c r="A9" s="20" t="str">
        <x:v>风厉</x:v>
      </x:c>
      <x:c r="B9" s="20" t="str">
        <x:v>E2｜旋斩瞬移</x:v>
      </x:c>
      <x:c r="C9" s="20" t="str">
        <x:v>初始单圈伤害</x:v>
      </x:c>
      <x:c r="D9" s="20" t="str">
        <x:v>点</x:v>
      </x:c>
      <x:c r="E9" s="42" t="n">
        <x:f>('风厉技能'!$E$45+'风厉技能'!$E$46/'检算基准'!$B$10*'检算基准'!$B$5)</x:f>
        <x:v>95</x:v>
      </x:c>
      <x:c r="F9" s="42" t="n">
        <x:f>('风厉技能'!$F$45+'风厉技能'!$F$46/'检算基准'!$B$10*'检算基准'!$B$5)</x:f>
        <x:v>112</x:v>
      </x:c>
      <x:c r="G9" s="42" t="n">
        <x:f>('风厉技能'!$G$45+'风厉技能'!$G$46/'检算基准'!$B$10*'检算基准'!$B$5)</x:f>
        <x:v>137</x:v>
      </x:c>
      <x:c r="H9" s="46" t="n">
        <x:f>('风厉技能'!$H$45+'风厉技能'!$H$46/'检算基准'!$B$10*'检算基准'!$B$5)</x:f>
        <x:v>179</x:v>
      </x:c>
      <x:c r="I9" s="46" t="n">
        <x:f>('风厉技能'!$I$45+'风厉技能'!$I$46/'检算基准'!$B$10*'检算基准'!$B$5)</x:f>
        <x:v>235</x:v>
      </x:c>
      <x:c r="J9" s="46" t="n">
        <x:f>('风厉技能'!$J$45+'风厉技能'!$J$46/'检算基准'!$B$10*'检算基准'!$B$5)</x:f>
        <x:v>305</x:v>
      </x:c>
      <x:c r="K9" s="42" t="n">
        <x:f>F9-E9</x:f>
        <x:v>17</x:v>
      </x:c>
      <x:c r="L9" s="42" t="n">
        <x:f>G9-F9</x:f>
        <x:v>25</x:v>
      </x:c>
      <x:c r="M9" s="42" t="n">
        <x:f>H9-G9</x:f>
        <x:v>42</x:v>
      </x:c>
      <x:c r="N9" s="42" t="n">
        <x:f>I9-H9</x:f>
        <x:v>56</x:v>
      </x:c>
      <x:c r="O9" s="42" t="n">
        <x:f>J9-I9</x:f>
        <x:v>70</x:v>
      </x:c>
      <x:c r="P9" s="43" t="n">
        <x:f>IFERROR(J9/E9-1,0)</x:f>
        <x:v>2.210526315789474</x:v>
      </x:c>
      <x:c r="Q9" s="20" t="str"/>
    </x:row>
    <x:row r="10" ht="39" customHeight="1">
      <x:c r="A10" s="20" t="str">
        <x:v>风厉</x:v>
      </x:c>
      <x:c r="B10" s="20" t="str">
        <x:v>E3｜超载</x:v>
      </x:c>
      <x:c r="C10" s="20" t="str">
        <x:v>每次100%AD普攻追加真伤</x:v>
      </x:c>
      <x:c r="D10" s="20" t="str">
        <x:v>点</x:v>
      </x:c>
      <x:c r="E10" s="42" t="n">
        <x:f>'检算基准'!$B$5*'风厉技能'!$E$56/'检算基准'!$B$10</x:f>
        <x:v>25</x:v>
      </x:c>
      <x:c r="F10" s="42" t="n">
        <x:f>'检算基准'!$B$5*'风厉技能'!$F$56/'检算基准'!$B$10</x:f>
        <x:v>27</x:v>
      </x:c>
      <x:c r="G10" s="42" t="n">
        <x:f>'检算基准'!$B$5*'风厉技能'!$G$56/'检算基准'!$B$10</x:f>
        <x:v>29</x:v>
      </x:c>
      <x:c r="H10" s="46" t="n">
        <x:f>'检算基准'!$B$5*'风厉技能'!$H$56/'检算基准'!$B$10</x:f>
        <x:v>33</x:v>
      </x:c>
      <x:c r="I10" s="46" t="n">
        <x:f>'检算基准'!$B$5*'风厉技能'!$I$56/'检算基准'!$B$10</x:f>
        <x:v>38</x:v>
      </x:c>
      <x:c r="J10" s="46" t="n">
        <x:f>'检算基准'!$B$5*'风厉技能'!$J$56/'检算基准'!$B$10</x:f>
        <x:v>45</x:v>
      </x:c>
      <x:c r="K10" s="42" t="n">
        <x:f>F10-E10</x:f>
        <x:v>2</x:v>
      </x:c>
      <x:c r="L10" s="42" t="n">
        <x:f>G10-F10</x:f>
        <x:v>2</x:v>
      </x:c>
      <x:c r="M10" s="42" t="n">
        <x:f>H10-G10</x:f>
        <x:v>4</x:v>
      </x:c>
      <x:c r="N10" s="42" t="n">
        <x:f>I10-H10</x:f>
        <x:v>5</x:v>
      </x:c>
      <x:c r="O10" s="42" t="n">
        <x:f>J10-I10</x:f>
        <x:v>7</x:v>
      </x:c>
      <x:c r="P10" s="43" t="n">
        <x:f>IFERROR(J10/E10-1,0)</x:f>
        <x:v>0.8</x:v>
      </x:c>
      <x:c r="Q10" s="20" t="str">
        <x:v>只计算伤害增幅，不折算攻速、延时及冲刺收益。</x:v>
      </x:c>
    </x:row>
    <x:row r="11" ht="39" customHeight="1">
      <x:c r="A11" s="20" t="str">
        <x:v>风厉</x:v>
      </x:c>
      <x:c r="B11" s="20" t="str">
        <x:v>P1｜吸血剑势</x:v>
      </x:c>
      <x:c r="C11" s="20" t="str">
        <x:v>吸血比例</x:v>
      </x:c>
      <x:c r="D11" s="20" t="str">
        <x:v>%</x:v>
      </x:c>
      <x:c r="E11" s="42" t="n">
        <x:f>'风厉技能'!$E$60</x:f>
        <x:v>3</x:v>
      </x:c>
      <x:c r="F11" s="42" t="n">
        <x:f>'风厉技能'!$F$60</x:f>
        <x:v>5</x:v>
      </x:c>
      <x:c r="G11" s="46" t="n">
        <x:f>'风厉技能'!$G$60</x:f>
        <x:v>9</x:v>
      </x:c>
      <x:c r="H11" s="46" t="n">
        <x:f>'风厉技能'!$H$60</x:f>
        <x:v>15</x:v>
      </x:c>
      <x:c r="I11" s="42"/>
      <x:c r="J11" s="42"/>
      <x:c r="K11" s="42" t="n">
        <x:f>F11-E11</x:f>
        <x:v>2</x:v>
      </x:c>
      <x:c r="L11" s="42" t="n">
        <x:f>G11-F11</x:f>
        <x:v>4</x:v>
      </x:c>
      <x:c r="M11" s="42" t="n">
        <x:f>H11-G11</x:f>
        <x:v>6</x:v>
      </x:c>
      <x:c r="N11" s="42"/>
      <x:c r="O11" s="42"/>
      <x:c r="P11" s="43" t="n">
        <x:f>IFERROR(H11/E11-1,0)</x:f>
        <x:v>4</x:v>
      </x:c>
      <x:c r="Q11" s="20" t="str"/>
    </x:row>
    <x:row r="12" ht="39" customHeight="1">
      <x:c r="A12" s="20" t="str">
        <x:v>风厉</x:v>
      </x:c>
      <x:c r="B12" s="20" t="str">
        <x:v>P2｜绝境反击</x:v>
      </x:c>
      <x:c r="C12" s="20" t="str">
        <x:v>触发时恢复生命</x:v>
      </x:c>
      <x:c r="D12" s="20" t="str">
        <x:v>点</x:v>
      </x:c>
      <x:c r="E12" s="42" t="n">
        <x:f>'检算基准'!$B$7*'风厉技能'!$E$62/'检算基准'!$B$10</x:f>
        <x:v>120</x:v>
      </x:c>
      <x:c r="F12" s="42" t="n">
        <x:f>'检算基准'!$B$7*'风厉技能'!$F$62/'检算基准'!$B$10</x:f>
        <x:v>180</x:v>
      </x:c>
      <x:c r="G12" s="46" t="n">
        <x:f>'检算基准'!$B$7*'风厉技能'!$G$62/'检算基准'!$B$10</x:f>
        <x:v>300</x:v>
      </x:c>
      <x:c r="H12" s="46" t="n">
        <x:f>'检算基准'!$B$7*'风厉技能'!$H$62/'检算基准'!$B$10</x:f>
        <x:v>480</x:v>
      </x:c>
      <x:c r="I12" s="42"/>
      <x:c r="J12" s="42"/>
      <x:c r="K12" s="42" t="n">
        <x:f>F12-E12</x:f>
        <x:v>60</x:v>
      </x:c>
      <x:c r="L12" s="42" t="n">
        <x:f>G12-F12</x:f>
        <x:v>120</x:v>
      </x:c>
      <x:c r="M12" s="42" t="n">
        <x:f>H12-G12</x:f>
        <x:v>180</x:v>
      </x:c>
      <x:c r="N12" s="42"/>
      <x:c r="O12" s="42"/>
      <x:c r="P12" s="43" t="n">
        <x:f>IFERROR(H12/E12-1,0)</x:f>
        <x:v>3</x:v>
      </x:c>
      <x:c r="Q12" s="20" t="str"/>
    </x:row>
    <x:row r="13" ht="39" customHeight="1">
      <x:c r="A13" s="20" t="str">
        <x:v>风厉</x:v>
      </x:c>
      <x:c r="B13" s="20" t="str">
        <x:v>P3｜杀意淬锋</x:v>
      </x:c>
      <x:c r="C13" s="20" t="str">
        <x:v>等量击杀获得攻击力</x:v>
      </x:c>
      <x:c r="D13" s="20" t="str">
        <x:v>点</x:v>
      </x:c>
      <x:c r="E13" s="42" t="n">
        <x:f>INT('检算基准'!$B$11/'风厉技能'!$E$64)*'风厉技能'!$E$65</x:f>
        <x:v>10</x:v>
      </x:c>
      <x:c r="F13" s="42" t="n">
        <x:f>INT('检算基准'!$B$11/'风厉技能'!$F$64)*'风厉技能'!$F$65</x:f>
        <x:v>11</x:v>
      </x:c>
      <x:c r="G13" s="46" t="n">
        <x:f>INT('检算基准'!$B$11/'风厉技能'!$G$64)*'风厉技能'!$G$65</x:f>
        <x:v>14</x:v>
      </x:c>
      <x:c r="H13" s="46" t="n">
        <x:f>INT('检算基准'!$B$11/'风厉技能'!$H$64)*'风厉技能'!$H$65</x:f>
        <x:v>25</x:v>
      </x:c>
      <x:c r="I13" s="42"/>
      <x:c r="J13" s="42"/>
      <x:c r="K13" s="42" t="n">
        <x:f>F13-E13</x:f>
        <x:v>1</x:v>
      </x:c>
      <x:c r="L13" s="42" t="n">
        <x:f>G13-F13</x:f>
        <x:v>3</x:v>
      </x:c>
      <x:c r="M13" s="42" t="n">
        <x:f>H13-G13</x:f>
        <x:v>11</x:v>
      </x:c>
      <x:c r="N13" s="42"/>
      <x:c r="O13" s="42"/>
      <x:c r="P13" s="43" t="n">
        <x:f>IFERROR(H13/E13-1,0)</x:f>
        <x:v>1.5</x:v>
      </x:c>
      <x:c r="Q13" s="20" t="str"/>
    </x:row>
    <x:row r="14" ht="39" customHeight="1">
      <x:c r="A14" s="20" t="str">
        <x:v>风厉</x:v>
      </x:c>
      <x:c r="B14" s="20" t="str">
        <x:v>R1｜乱星斩</x:v>
      </x:c>
      <x:c r="C14" s="20" t="str">
        <x:v>每个目标基础伤害</x:v>
      </x:c>
      <x:c r="D14" s="20" t="str">
        <x:v>点</x:v>
      </x:c>
      <x:c r="E14" s="42" t="n">
        <x:f>('风厉技能'!$E$67+'风厉技能'!$E$68/'检算基准'!$B$10*'检算基准'!$B$5)</x:f>
        <x:v>800</x:v>
      </x:c>
      <x:c r="F14" s="42" t="n">
        <x:f>('风厉技能'!$F$67+'风厉技能'!$F$68/'检算基准'!$B$10*'检算基准'!$B$5)</x:f>
        <x:v>970</x:v>
      </x:c>
      <x:c r="G14" s="46" t="n">
        <x:f>('风厉技能'!$G$67+'风厉技能'!$G$68/'检算基准'!$B$10*'检算基准'!$B$5)</x:f>
        <x:v>1380</x:v>
      </x:c>
      <x:c r="H14" s="46" t="n">
        <x:f>('风厉技能'!$H$67+'风厉技能'!$H$68/'检算基准'!$B$10*'检算基准'!$B$5)</x:f>
        <x:v>2060</x:v>
      </x:c>
      <x:c r="I14" s="42"/>
      <x:c r="J14" s="42"/>
      <x:c r="K14" s="42" t="n">
        <x:f>F14-E14</x:f>
        <x:v>170</x:v>
      </x:c>
      <x:c r="L14" s="42" t="n">
        <x:f>G14-F14</x:f>
        <x:v>410</x:v>
      </x:c>
      <x:c r="M14" s="42" t="n">
        <x:f>H14-G14</x:f>
        <x:v>680</x:v>
      </x:c>
      <x:c r="N14" s="42"/>
      <x:c r="O14" s="42"/>
      <x:c r="P14" s="43" t="n">
        <x:f>IFERROR(H14/E14-1,0)</x:f>
        <x:v>1.5750000000000002</x:v>
      </x:c>
      <x:c r="Q14" s="20" t="str">
        <x:v>不包含斩杀阈值收益。</x:v>
      </x:c>
    </x:row>
    <x:row r="15" ht="39" customHeight="1">
      <x:c r="A15" s="20" t="str">
        <x:v>风厉</x:v>
      </x:c>
      <x:c r="B15" s="20" t="str">
        <x:v>R2｜骨钉雨</x:v>
      </x:c>
      <x:c r="C15" s="20" t="str">
        <x:v>每根骨钉伤害</x:v>
      </x:c>
      <x:c r="D15" s="20" t="str">
        <x:v>点</x:v>
      </x:c>
      <x:c r="E15" s="42" t="n">
        <x:f>('风厉技能'!$E$72+'风厉技能'!$E$73/'检算基准'!$B$10*'检算基准'!$B$5)+'检算基准'!$B$8*'风厉技能'!$E$74/'检算基准'!$B$10</x:f>
        <x:v>125</x:v>
      </x:c>
      <x:c r="F15" s="42" t="n">
        <x:f>('风厉技能'!$F$72+'风厉技能'!$F$73/'检算基准'!$B$10*'检算基准'!$B$5)+'检算基准'!$B$8*'风厉技能'!$F$74/'检算基准'!$B$10</x:f>
        <x:v>145</x:v>
      </x:c>
      <x:c r="G15" s="46" t="n">
        <x:f>('风厉技能'!$G$72+'风厉技能'!$G$73/'检算基准'!$B$10*'检算基准'!$B$5)+'检算基准'!$B$8*'风厉技能'!$G$74/'检算基准'!$B$10</x:f>
        <x:v>190</x:v>
      </x:c>
      <x:c r="H15" s="46" t="n">
        <x:f>('风厉技能'!$H$72+'风厉技能'!$H$73/'检算基准'!$B$10*'检算基准'!$B$5)+'检算基准'!$B$8*'风厉技能'!$H$74/'检算基准'!$B$10</x:f>
        <x:v>260</x:v>
      </x:c>
      <x:c r="I15" s="42"/>
      <x:c r="J15" s="42"/>
      <x:c r="K15" s="42" t="n">
        <x:f>F15-E15</x:f>
        <x:v>20</x:v>
      </x:c>
      <x:c r="L15" s="42" t="n">
        <x:f>G15-F15</x:f>
        <x:v>45</x:v>
      </x:c>
      <x:c r="M15" s="42" t="n">
        <x:f>H15-G15</x:f>
        <x:v>70</x:v>
      </x:c>
      <x:c r="N15" s="42"/>
      <x:c r="O15" s="42"/>
      <x:c r="P15" s="43" t="n">
        <x:f>IFERROR(H15/E15-1,0)</x:f>
        <x:v>1.08</x:v>
      </x:c>
      <x:c r="Q15" s="20" t="str">
        <x:v>未乘普攻累计产生的骨钉数。</x:v>
      </x:c>
    </x:row>
    <x:row r="16" ht="39" customHeight="1">
      <x:c r="A16" s="20" t="str">
        <x:v>晏归舟</x:v>
      </x:c>
      <x:c r="B16" s="20" t="str">
        <x:v>Q1｜飞流三千</x:v>
      </x:c>
      <x:c r="C16" s="20" t="str">
        <x:v>单次瀑布伤害</x:v>
      </x:c>
      <x:c r="D16" s="20" t="str">
        <x:v>点</x:v>
      </x:c>
      <x:c r="E16" s="42" t="n">
        <x:f>('晏归舟技能'!$E$5+'晏归舟技能'!$E$6/'检算基准'!$B$10*'检算基准'!$B$6)</x:f>
        <x:v>235</x:v>
      </x:c>
      <x:c r="F16" s="42" t="n">
        <x:f>('晏归舟技能'!$F$5+'晏归舟技能'!$F$6/'检算基准'!$B$10*'检算基准'!$B$6)</x:f>
        <x:v>267</x:v>
      </x:c>
      <x:c r="G16" s="42" t="n">
        <x:f>('晏归舟技能'!$G$5+'晏归舟技能'!$G$6/'检算基准'!$B$10*'检算基准'!$B$6)</x:f>
        <x:v>314</x:v>
      </x:c>
      <x:c r="H16" s="46" t="n">
        <x:f>('晏归舟技能'!$H$5+'晏归舟技能'!$H$6/'检算基准'!$B$10*'检算基准'!$B$6)</x:f>
        <x:v>393</x:v>
      </x:c>
      <x:c r="I16" s="46" t="n">
        <x:f>('晏归舟技能'!$I$5+'晏归舟技能'!$I$6/'检算基准'!$B$10*'检算基准'!$B$6)</x:f>
        <x:v>499</x:v>
      </x:c>
      <x:c r="J16" s="46" t="n">
        <x:f>('晏归舟技能'!$J$5+'晏归舟技能'!$J$6/'检算基准'!$B$10*'检算基准'!$B$6)</x:f>
        <x:v>630</x:v>
      </x:c>
      <x:c r="K16" s="42" t="n">
        <x:f>F16-E16</x:f>
        <x:v>32</x:v>
      </x:c>
      <x:c r="L16" s="42" t="n">
        <x:f>G16-F16</x:f>
        <x:v>47</x:v>
      </x:c>
      <x:c r="M16" s="42" t="n">
        <x:f>H16-G16</x:f>
        <x:v>79</x:v>
      </x:c>
      <x:c r="N16" s="42" t="n">
        <x:f>I16-H16</x:f>
        <x:v>106</x:v>
      </x:c>
      <x:c r="O16" s="42" t="n">
        <x:f>J16-I16</x:f>
        <x:v>131</x:v>
      </x:c>
      <x:c r="P16" s="43" t="n">
        <x:f>IFERROR(J16/E16-1,0)</x:f>
        <x:v>1.6808510638297873</x:v>
      </x:c>
      <x:c r="Q16" s="20" t="str"/>
    </x:row>
    <x:row r="17" ht="39" customHeight="1">
      <x:c r="A17" s="20" t="str">
        <x:v>晏归舟</x:v>
      </x:c>
      <x:c r="B17" s="20" t="str">
        <x:v>Q2｜大漠孤烟·长河落日</x:v>
      </x:c>
      <x:c r="C17" s="20" t="str">
        <x:v>首次跨河伤害</x:v>
      </x:c>
      <x:c r="D17" s="20" t="str">
        <x:v>点</x:v>
      </x:c>
      <x:c r="E17" s="42" t="n">
        <x:f>('晏归舟技能'!$E$18+'晏归舟技能'!$E$19/'检算基准'!$B$10*'检算基准'!$B$6)</x:f>
        <x:v>235</x:v>
      </x:c>
      <x:c r="F17" s="42" t="n">
        <x:f>('晏归舟技能'!$F$18+'晏归舟技能'!$F$19/'检算基准'!$B$10*'检算基准'!$B$6)</x:f>
        <x:v>270</x:v>
      </x:c>
      <x:c r="G17" s="42" t="n">
        <x:f>('晏归舟技能'!$G$18+'晏归舟技能'!$G$19/'检算基准'!$B$10*'检算基准'!$B$6)</x:f>
        <x:v>324</x:v>
      </x:c>
      <x:c r="H17" s="46" t="n">
        <x:f>('晏归舟技能'!$H$18+'晏归舟技能'!$H$19/'检算基准'!$B$10*'检算基准'!$B$6)</x:f>
        <x:v>413</x:v>
      </x:c>
      <x:c r="I17" s="46" t="n">
        <x:f>('晏归舟技能'!$I$18+'晏归舟技能'!$I$19/'检算基准'!$B$10*'检算基准'!$B$6)</x:f>
        <x:v>534</x:v>
      </x:c>
      <x:c r="J17" s="46" t="n">
        <x:f>('晏归舟技能'!$J$18+'晏归舟技能'!$J$19/'检算基准'!$B$10*'检算基准'!$B$6)</x:f>
        <x:v>680</x:v>
      </x:c>
      <x:c r="K17" s="42" t="n">
        <x:f>F17-E17</x:f>
        <x:v>35</x:v>
      </x:c>
      <x:c r="L17" s="42" t="n">
        <x:f>G17-F17</x:f>
        <x:v>54</x:v>
      </x:c>
      <x:c r="M17" s="42" t="n">
        <x:f>H17-G17</x:f>
        <x:v>89</x:v>
      </x:c>
      <x:c r="N17" s="42" t="n">
        <x:f>I17-H17</x:f>
        <x:v>121</x:v>
      </x:c>
      <x:c r="O17" s="42" t="n">
        <x:f>J17-I17</x:f>
        <x:v>146</x:v>
      </x:c>
      <x:c r="P17" s="43" t="n">
        <x:f>IFERROR(J17/E17-1,0)</x:f>
        <x:v>1.893617021276596</x:v>
      </x:c>
      <x:c r="Q17" s="20" t="str"/>
    </x:row>
    <x:row r="18" ht="39" customHeight="1">
      <x:c r="A18" s="20" t="str">
        <x:v>晏归舟</x:v>
      </x:c>
      <x:c r="B18" s="20" t="str">
        <x:v>Q3｜溪山行旅</x:v>
      </x:c>
      <x:c r="C18" s="20" t="str">
        <x:v>立山与崩山全中</x:v>
      </x:c>
      <x:c r="D18" s="20" t="str">
        <x:v>点</x:v>
      </x:c>
      <x:c r="E18" s="42" t="n">
        <x:f>('晏归舟技能'!$E$24+'晏归舟技能'!$E$25/'检算基准'!$B$10*'检算基准'!$B$6)+('晏归舟技能'!$E$31+'晏归舟技能'!$E$32/'检算基准'!$B$10*'检算基准'!$B$6)</x:f>
        <x:v>370</x:v>
      </x:c>
      <x:c r="F18" s="42" t="n">
        <x:f>('晏归舟技能'!$F$24+'晏归舟技能'!$F$25/'检算基准'!$B$10*'检算基准'!$B$6)+('晏归舟技能'!$F$31+'晏归舟技能'!$F$32/'检算基准'!$B$10*'检算基准'!$B$6)</x:f>
        <x:v>424</x:v>
      </x:c>
      <x:c r="G18" s="42" t="n">
        <x:f>('晏归舟技能'!$G$24+'晏归舟技能'!$G$25/'检算基准'!$B$10*'检算基准'!$B$6)+('晏归舟技能'!$G$31+'晏归舟技能'!$G$32/'检算基准'!$B$10*'检算基准'!$B$6)</x:f>
        <x:v>502</x:v>
      </x:c>
      <x:c r="H18" s="46" t="n">
        <x:f>('晏归舟技能'!$H$24+'晏归舟技能'!$H$25/'检算基准'!$B$10*'检算基准'!$B$6)+('晏归舟技能'!$H$31+'晏归舟技能'!$H$32/'检算基准'!$B$10*'检算基准'!$B$6)</x:f>
        <x:v>634</x:v>
      </x:c>
      <x:c r="I18" s="46" t="n">
        <x:f>('晏归舟技能'!$I$24+'晏归舟技能'!$I$25/'检算基准'!$B$10*'检算基准'!$B$6)+('晏归舟技能'!$I$31+'晏归舟技能'!$I$32/'检算基准'!$B$10*'检算基准'!$B$6)</x:f>
        <x:v>811</x:v>
      </x:c>
      <x:c r="J18" s="46" t="n">
        <x:f>('晏归舟技能'!$J$24+'晏归舟技能'!$J$25/'检算基准'!$B$10*'检算基准'!$B$6)+('晏归舟技能'!$J$31+'晏归舟技能'!$J$32/'检算基准'!$B$10*'检算基准'!$B$6)</x:f>
        <x:v>1030</x:v>
      </x:c>
      <x:c r="K18" s="42" t="n">
        <x:f>F18-E18</x:f>
        <x:v>54</x:v>
      </x:c>
      <x:c r="L18" s="42" t="n">
        <x:f>G18-F18</x:f>
        <x:v>78</x:v>
      </x:c>
      <x:c r="M18" s="42" t="n">
        <x:f>H18-G18</x:f>
        <x:v>132</x:v>
      </x:c>
      <x:c r="N18" s="42" t="n">
        <x:f>I18-H18</x:f>
        <x:v>177</x:v>
      </x:c>
      <x:c r="O18" s="42" t="n">
        <x:f>J18-I18</x:f>
        <x:v>219</x:v>
      </x:c>
      <x:c r="P18" s="43" t="n">
        <x:f>IFERROR(J18/E18-1,0)</x:f>
        <x:v>1.7837837837837838</x:v>
      </x:c>
      <x:c r="Q18" s="20" t="str"/>
    </x:row>
    <x:row r="19" ht="39" customHeight="1">
      <x:c r="A19" s="20" t="str">
        <x:v>晏归舟</x:v>
      </x:c>
      <x:c r="B19" s="20" t="str">
        <x:v>E1｜一蓑烟雨</x:v>
      </x:c>
      <x:c r="C19" s="20" t="str">
        <x:v>聚形与雨痕全中</x:v>
      </x:c>
      <x:c r="D19" s="20" t="str">
        <x:v>点</x:v>
      </x:c>
      <x:c r="E19" s="42" t="n">
        <x:f>('晏归舟技能'!$E$40+'晏归舟技能'!$E$41/'检算基准'!$B$10*'检算基准'!$B$6)+('晏归舟技能'!$E$42+'晏归舟技能'!$E$43/'检算基准'!$B$10*'检算基准'!$B$6)</x:f>
        <x:v>230</x:v>
      </x:c>
      <x:c r="F19" s="42" t="n">
        <x:f>('晏归舟技能'!$F$40+'晏归舟技能'!$F$41/'检算基准'!$B$10*'检算基准'!$B$6)+('晏归舟技能'!$F$42+'晏归舟技能'!$F$43/'检算基准'!$B$10*'检算基准'!$B$6)</x:f>
        <x:v>260</x:v>
      </x:c>
      <x:c r="G19" s="42" t="n">
        <x:f>('晏归舟技能'!$G$40+'晏归舟技能'!$G$41/'检算基准'!$B$10*'检算基准'!$B$6)+('晏归舟技能'!$G$42+'晏归舟技能'!$G$43/'检算基准'!$B$10*'检算基准'!$B$6)</x:f>
        <x:v>308</x:v>
      </x:c>
      <x:c r="H19" s="46" t="n">
        <x:f>('晏归舟技能'!$H$40+'晏归舟技能'!$H$41/'检算基准'!$B$10*'检算基准'!$B$6)+('晏归舟技能'!$H$42+'晏归舟技能'!$H$43/'检算基准'!$B$10*'检算基准'!$B$6)</x:f>
        <x:v>386</x:v>
      </x:c>
      <x:c r="I19" s="46" t="n">
        <x:f>('晏归舟技能'!$I$40+'晏归舟技能'!$I$41/'检算基准'!$B$10*'检算基准'!$B$6)+('晏归舟技能'!$I$42+'晏归舟技能'!$I$43/'检算基准'!$B$10*'检算基准'!$B$6)</x:f>
        <x:v>491</x:v>
      </x:c>
      <x:c r="J19" s="46" t="n">
        <x:f>('晏归舟技能'!$J$40+'晏归舟技能'!$J$41/'检算基准'!$B$10*'检算基准'!$B$6)+('晏归舟技能'!$J$42+'晏归舟技能'!$J$43/'检算基准'!$B$10*'检算基准'!$B$6)</x:f>
        <x:v>620</x:v>
      </x:c>
      <x:c r="K19" s="42" t="n">
        <x:f>F19-E19</x:f>
        <x:v>30</x:v>
      </x:c>
      <x:c r="L19" s="42" t="n">
        <x:f>G19-F19</x:f>
        <x:v>48</x:v>
      </x:c>
      <x:c r="M19" s="42" t="n">
        <x:f>H19-G19</x:f>
        <x:v>78</x:v>
      </x:c>
      <x:c r="N19" s="42" t="n">
        <x:f>I19-H19</x:f>
        <x:v>105</x:v>
      </x:c>
      <x:c r="O19" s="42" t="n">
        <x:f>J19-I19</x:f>
        <x:v>129</x:v>
      </x:c>
      <x:c r="P19" s="43" t="n">
        <x:f>IFERROR(J19/E19-1,0)</x:f>
        <x:v>1.6956521739130435</x:v>
      </x:c>
      <x:c r="Q19" s="20" t="str">
        <x:v>雨痕范围判定仍以机制待确认项为准。</x:v>
      </x:c>
    </x:row>
    <x:row r="20" ht="39" customHeight="1">
      <x:c r="A20" s="20" t="str">
        <x:v>晏归舟</x:v>
      </x:c>
      <x:c r="B20" s="20" t="str">
        <x:v>E2｜孤帆远影</x:v>
      </x:c>
      <x:c r="C20" s="20" t="str">
        <x:v>航行与登舟全中</x:v>
      </x:c>
      <x:c r="D20" s="20" t="str">
        <x:v>点</x:v>
      </x:c>
      <x:c r="E20" s="42" t="n">
        <x:f>('晏归舟技能'!$E$48+'晏归舟技能'!$E$49/'检算基准'!$B$10*'检算基准'!$B$6)+('晏归舟技能'!$E$52+'晏归舟技能'!$E$53/'检算基准'!$B$10*'检算基准'!$B$6)</x:f>
        <x:v>270</x:v>
      </x:c>
      <x:c r="F20" s="42" t="n">
        <x:f>('晏归舟技能'!$F$48+'晏归舟技能'!$F$49/'检算基准'!$B$10*'检算基准'!$B$6)+('晏归舟技能'!$F$52+'晏归舟技能'!$F$53/'检算基准'!$B$10*'检算基准'!$B$6)</x:f>
        <x:v>311</x:v>
      </x:c>
      <x:c r="G20" s="42" t="n">
        <x:f>('晏归舟技能'!$G$48+'晏归舟技能'!$G$49/'检算基准'!$B$10*'检算基准'!$B$6)+('晏归舟技能'!$G$52+'晏归舟技能'!$G$53/'检算基准'!$B$10*'检算基准'!$B$6)</x:f>
        <x:v>373</x:v>
      </x:c>
      <x:c r="H20" s="46" t="n">
        <x:f>('晏归舟技能'!$H$48+'晏归舟技能'!$H$49/'检算基准'!$B$10*'检算基准'!$B$6)+('晏归舟技能'!$H$52+'晏归舟技能'!$H$53/'检算基准'!$B$10*'检算基准'!$B$6)</x:f>
        <x:v>476</x:v>
      </x:c>
      <x:c r="I20" s="46" t="n">
        <x:f>('晏归舟技能'!$I$48+'晏归舟技能'!$I$49/'检算基准'!$B$10*'检算基准'!$B$6)+('晏归舟技能'!$I$52+'晏归舟技能'!$I$53/'检算基准'!$B$10*'检算基准'!$B$6)</x:f>
        <x:v>615</x:v>
      </x:c>
      <x:c r="J20" s="46" t="n">
        <x:f>('晏归舟技能'!$J$48+'晏归舟技能'!$J$49/'检算基准'!$B$10*'检算基准'!$B$6)+('晏归舟技能'!$J$52+'晏归舟技能'!$J$53/'检算基准'!$B$10*'检算基准'!$B$6)</x:f>
        <x:v>785</x:v>
      </x:c>
      <x:c r="K20" s="42" t="n">
        <x:f>F20-E20</x:f>
        <x:v>41</x:v>
      </x:c>
      <x:c r="L20" s="42" t="n">
        <x:f>G20-F20</x:f>
        <x:v>62</x:v>
      </x:c>
      <x:c r="M20" s="42" t="n">
        <x:f>H20-G20</x:f>
        <x:v>103</x:v>
      </x:c>
      <x:c r="N20" s="42" t="n">
        <x:f>I20-H20</x:f>
        <x:v>139</x:v>
      </x:c>
      <x:c r="O20" s="42" t="n">
        <x:f>J20-I20</x:f>
        <x:v>170</x:v>
      </x:c>
      <x:c r="P20" s="43" t="n">
        <x:f>IFERROR(J20/E20-1,0)</x:f>
        <x:v>1.9074074074074074</x:v>
      </x:c>
      <x:c r="Q20" s="20" t="str"/>
    </x:row>
    <x:row r="21" ht="39" customHeight="1">
      <x:c r="A21" s="20" t="str">
        <x:v>晏归舟</x:v>
      </x:c>
      <x:c r="B21" s="20" t="str">
        <x:v>E3｜咫尺千里</x:v>
      </x:c>
      <x:c r="C21" s="20" t="str">
        <x:v>近距最高交换伤害</x:v>
      </x:c>
      <x:c r="D21" s="20" t="str">
        <x:v>点</x:v>
      </x:c>
      <x:c r="E21" s="42" t="n">
        <x:f>('晏归舟技能'!$E$63+'晏归舟技能'!$E$64/'检算基准'!$B$10*'检算基准'!$B$6)</x:f>
        <x:v>245</x:v>
      </x:c>
      <x:c r="F21" s="42" t="n">
        <x:f>('晏归舟技能'!$F$63+'晏归舟技能'!$F$64/'检算基准'!$B$10*'检算基准'!$B$6)</x:f>
        <x:v>278</x:v>
      </x:c>
      <x:c r="G21" s="42" t="n">
        <x:f>('晏归舟技能'!$G$63+'晏归舟技能'!$G$64/'检算基准'!$B$10*'检算基准'!$B$6)</x:f>
        <x:v>326</x:v>
      </x:c>
      <x:c r="H21" s="46" t="n">
        <x:f>('晏归舟技能'!$H$63+'晏归舟技能'!$H$64/'检算基准'!$B$10*'检算基准'!$B$6)</x:f>
        <x:v>407</x:v>
      </x:c>
      <x:c r="I21" s="46" t="n">
        <x:f>('晏归舟技能'!$I$63+'晏归舟技能'!$I$64/'检算基准'!$B$10*'检算基准'!$B$6)</x:f>
        <x:v>516</x:v>
      </x:c>
      <x:c r="J21" s="46" t="n">
        <x:f>('晏归舟技能'!$J$63+'晏归舟技能'!$J$64/'检算基准'!$B$10*'检算基准'!$B$6)</x:f>
        <x:v>650</x:v>
      </x:c>
      <x:c r="K21" s="42" t="n">
        <x:f>F21-E21</x:f>
        <x:v>33</x:v>
      </x:c>
      <x:c r="L21" s="42" t="n">
        <x:f>G21-F21</x:f>
        <x:v>48</x:v>
      </x:c>
      <x:c r="M21" s="42" t="n">
        <x:f>H21-G21</x:f>
        <x:v>81</x:v>
      </x:c>
      <x:c r="N21" s="42" t="n">
        <x:f>I21-H21</x:f>
        <x:v>109</x:v>
      </x:c>
      <x:c r="O21" s="42" t="n">
        <x:f>J21-I21</x:f>
        <x:v>134</x:v>
      </x:c>
      <x:c r="P21" s="43" t="n">
        <x:f>IFERROR(J21/E21-1,0)</x:f>
        <x:v>1.6530612244897958</x:v>
      </x:c>
      <x:c r="Q21" s="20" t="str">
        <x:v>仅移动成功目标；不把Boss额外加入可交换列表。</x:v>
      </x:c>
    </x:row>
    <x:row r="22" ht="39" customHeight="1">
      <x:c r="A22" s="20" t="str">
        <x:v>晏归舟</x:v>
      </x:c>
      <x:c r="B22" s="20" t="str">
        <x:v>P1｜计白当黑</x:v>
      </x:c>
      <x:c r="C22" s="20" t="str">
        <x:v>单目标最终增伤</x:v>
      </x:c>
      <x:c r="D22" s="20" t="str">
        <x:v>%</x:v>
      </x:c>
      <x:c r="E22" s="42" t="n">
        <x:f>'晏归舟技能'!$E$68</x:f>
        <x:v>12</x:v>
      </x:c>
      <x:c r="F22" s="42" t="n">
        <x:f>'晏归舟技能'!$F$68</x:f>
        <x:v>18</x:v>
      </x:c>
      <x:c r="G22" s="46" t="n">
        <x:f>'晏归舟技能'!$G$68</x:f>
        <x:v>30</x:v>
      </x:c>
      <x:c r="H22" s="46" t="n">
        <x:f>'晏归舟技能'!$H$68</x:f>
        <x:v>48</x:v>
      </x:c>
      <x:c r="I22" s="42"/>
      <x:c r="J22" s="42"/>
      <x:c r="K22" s="42" t="n">
        <x:f>F22-E22</x:f>
        <x:v>6</x:v>
      </x:c>
      <x:c r="L22" s="42" t="n">
        <x:f>G22-F22</x:f>
        <x:v>12</x:v>
      </x:c>
      <x:c r="M22" s="42" t="n">
        <x:f>H22-G22</x:f>
        <x:v>18</x:v>
      </x:c>
      <x:c r="N22" s="42"/>
      <x:c r="O22" s="42"/>
      <x:c r="P22" s="43" t="n">
        <x:f>IFERROR(H22/E22-1,0)</x:f>
        <x:v>3</x:v>
      </x:c>
      <x:c r="Q22" s="20" t="str"/>
    </x:row>
    <x:row r="23" ht="39" customHeight="1">
      <x:c r="A23" s="20" t="str">
        <x:v>晏归舟</x:v>
      </x:c>
      <x:c r="B23" s="20" t="str">
        <x:v>P2｜墨分五色</x:v>
      </x:c>
      <x:c r="C23" s="20" t="str">
        <x:v>浓墨追加伤害</x:v>
      </x:c>
      <x:c r="D23" s="20" t="str">
        <x:v>点</x:v>
      </x:c>
      <x:c r="E23" s="42" t="n">
        <x:f>('晏归舟技能'!$E$76+'晏归舟技能'!$E$77/'检算基准'!$B$10*'检算基准'!$B$6)</x:f>
        <x:v>75</x:v>
      </x:c>
      <x:c r="F23" s="42" t="n">
        <x:f>('晏归舟技能'!$F$76+'晏归舟技能'!$F$77/'检算基准'!$B$10*'检算基准'!$B$6)</x:f>
        <x:v>110</x:v>
      </x:c>
      <x:c r="G23" s="46" t="n">
        <x:f>('晏归舟技能'!$G$76+'晏归舟技能'!$G$77/'检算基准'!$B$10*'检算基准'!$B$6)</x:f>
        <x:v>190</x:v>
      </x:c>
      <x:c r="H23" s="46" t="n">
        <x:f>('晏归舟技能'!$H$76+'晏归舟技能'!$H$77/'检算基准'!$B$10*'检算基准'!$B$6)</x:f>
        <x:v>320</x:v>
      </x:c>
      <x:c r="I23" s="42"/>
      <x:c r="J23" s="42"/>
      <x:c r="K23" s="42" t="n">
        <x:f>F23-E23</x:f>
        <x:v>35</x:v>
      </x:c>
      <x:c r="L23" s="42" t="n">
        <x:f>G23-F23</x:f>
        <x:v>80</x:v>
      </x:c>
      <x:c r="M23" s="42" t="n">
        <x:f>H23-G23</x:f>
        <x:v>130</x:v>
      </x:c>
      <x:c r="N23" s="42"/>
      <x:c r="O23" s="42"/>
      <x:c r="P23" s="43" t="n">
        <x:f>IFERROR(H23/E23-1,0)</x:f>
        <x:v>3.2666666666666666</x:v>
      </x:c>
      <x:c r="Q23" s="20" t="str">
        <x:v>不计墨色带来的法强增幅。</x:v>
      </x:c>
    </x:row>
    <x:row r="24" ht="39" customHeight="1">
      <x:c r="A24" s="20" t="str">
        <x:v>晏归舟</x:v>
      </x:c>
      <x:c r="B24" s="20" t="str">
        <x:v>P3｜气韵生动</x:v>
      </x:c>
      <x:c r="C24" s="20" t="str">
        <x:v>每次触发冷却返还</x:v>
      </x:c>
      <x:c r="D24" s="20" t="str">
        <x:v>%</x:v>
      </x:c>
      <x:c r="E24" s="42" t="n">
        <x:f>'晏归舟技能'!$E$79</x:f>
        <x:v>60</x:v>
      </x:c>
      <x:c r="F24" s="42" t="n">
        <x:f>'晏归舟技能'!$F$79</x:f>
        <x:v>68</x:v>
      </x:c>
      <x:c r="G24" s="46" t="n">
        <x:f>'晏归舟技能'!$G$79</x:f>
        <x:v>82</x:v>
      </x:c>
      <x:c r="H24" s="46" t="n">
        <x:f>'晏归舟技能'!$H$79</x:f>
        <x:v>100</x:v>
      </x:c>
      <x:c r="I24" s="42"/>
      <x:c r="J24" s="42"/>
      <x:c r="K24" s="42" t="n">
        <x:f>F24-E24</x:f>
        <x:v>8</x:v>
      </x:c>
      <x:c r="L24" s="42" t="n">
        <x:f>G24-F24</x:f>
        <x:v>14</x:v>
      </x:c>
      <x:c r="M24" s="42" t="n">
        <x:f>H24-G24</x:f>
        <x:v>18</x:v>
      </x:c>
      <x:c r="N24" s="42"/>
      <x:c r="O24" s="42"/>
      <x:c r="P24" s="43" t="n">
        <x:f>IFERROR(H24/E24-1,0)</x:f>
        <x:v>0.6666666666666667</x:v>
      </x:c>
      <x:c r="Q24" s="20" t="str">
        <x:v>Lv4另有触发次数4→3；见技能参数。</x:v>
      </x:c>
    </x:row>
    <x:row r="25" ht="39" customHeight="1">
      <x:c r="A25" s="20" t="str">
        <x:v>晏归舟</x:v>
      </x:c>
      <x:c r="B25" s="20" t="str">
        <x:v>R1｜独钓寒江雪</x:v>
      </x:c>
      <x:c r="C25" s="20" t="str">
        <x:v>Boss移速攻速降低</x:v>
      </x:c>
      <x:c r="D25" s="20" t="str">
        <x:v>%</x:v>
      </x:c>
      <x:c r="E25" s="42" t="n">
        <x:f>'晏归舟技能'!$E$85</x:f>
        <x:v>25</x:v>
      </x:c>
      <x:c r="F25" s="42" t="n">
        <x:f>'晏归舟技能'!$F$85</x:f>
        <x:v>28</x:v>
      </x:c>
      <x:c r="G25" s="46" t="n">
        <x:f>'晏归舟技能'!$G$85</x:f>
        <x:v>35</x:v>
      </x:c>
      <x:c r="H25" s="46" t="n">
        <x:f>'晏归舟技能'!$H$85</x:f>
        <x:v>45</x:v>
      </x:c>
      <x:c r="I25" s="42"/>
      <x:c r="J25" s="42"/>
      <x:c r="K25" s="42" t="n">
        <x:f>F25-E25</x:f>
        <x:v>3</x:v>
      </x:c>
      <x:c r="L25" s="42" t="n">
        <x:f>G25-F25</x:f>
        <x:v>7</x:v>
      </x:c>
      <x:c r="M25" s="42" t="n">
        <x:f>H25-G25</x:f>
        <x:v>10</x:v>
      </x:c>
      <x:c r="N25" s="42"/>
      <x:c r="O25" s="42"/>
      <x:c r="P25" s="43" t="n">
        <x:f>IFERROR(H25/E25-1,0)</x:f>
        <x:v>0.8</x:v>
      </x:c>
      <x:c r="Q25" s="20" t="str">
        <x:v>领域为控制大招，不添加正文不存在的伤害。</x:v>
      </x:c>
    </x:row>
    <x:row r="26" ht="39" customHeight="1">
      <x:c r="A26" s="20" t="str">
        <x:v>晏归舟</x:v>
      </x:c>
      <x:c r="B26" s="20" t="str">
        <x:v>R2｜千里江山</x:v>
      </x:c>
      <x:c r="C26" s="20" t="str">
        <x:v>全部山峰与收卷全中</x:v>
      </x:c>
      <x:c r="D26" s="20" t="str">
        <x:v>点</x:v>
      </x:c>
      <x:c r="E26" s="42" t="n">
        <x:f>INT('晏归舟技能'!$E$89/'晏归舟技能'!$E$90)*('晏归舟技能'!$E$94+'晏归舟技能'!$E$95/'检算基准'!$B$10*'检算基准'!$B$6)+('晏归舟技能'!$E$96+'晏归舟技能'!$E$97/'检算基准'!$B$10*'检算基准'!$B$6)</x:f>
        <x:v>1400</x:v>
      </x:c>
      <x:c r="F26" s="42" t="n">
        <x:f>INT('晏归舟技能'!$F$89/'晏归舟技能'!$F$90)*('晏归舟技能'!$F$94+'晏归舟技能'!$F$95/'检算基准'!$B$10*'检算基准'!$B$6)+('晏归舟技能'!$F$96+'晏归舟技能'!$F$97/'检算基准'!$B$10*'检算基准'!$B$6)</x:f>
        <x:v>1750</x:v>
      </x:c>
      <x:c r="G26" s="46" t="n">
        <x:f>INT('晏归舟技能'!$G$89/'晏归舟技能'!$G$90)*('晏归舟技能'!$G$94+'晏归舟技能'!$G$95/'检算基准'!$B$10*'检算基准'!$B$6)+('晏归舟技能'!$G$96+'晏归舟技能'!$G$97/'检算基准'!$B$10*'检算基准'!$B$6)</x:f>
        <x:v>3300</x:v>
      </x:c>
      <x:c r="H26" s="46" t="n">
        <x:f>INT('晏归舟技能'!$H$89/'晏归舟技能'!$H$90)*('晏归舟技能'!$H$94+'晏归舟技能'!$H$95/'检算基准'!$B$10*'检算基准'!$B$6)+('晏归舟技能'!$H$96+'晏归舟技能'!$H$97/'检算基准'!$B$10*'检算基准'!$B$6)</x:f>
        <x:v>6650</x:v>
      </x:c>
      <x:c r="I26" s="42"/>
      <x:c r="J26" s="42"/>
      <x:c r="K26" s="42" t="n">
        <x:f>F26-E26</x:f>
        <x:v>350</x:v>
      </x:c>
      <x:c r="L26" s="42" t="n">
        <x:f>G26-F26</x:f>
        <x:v>1550</x:v>
      </x:c>
      <x:c r="M26" s="42" t="n">
        <x:f>H26-G26</x:f>
        <x:v>3350</x:v>
      </x:c>
      <x:c r="N26" s="42"/>
      <x:c r="O26" s="42"/>
      <x:c r="P26" s="43" t="n">
        <x:f>IFERROR(H26/E26-1,0)</x:f>
        <x:v>3.75</x:v>
      </x:c>
      <x:c r="Q26" s="20" t="str">
        <x:v>首跳在一个间隔后；假定每条笔锋均命中。</x:v>
      </x:c>
    </x:row>
    <x:row r="27" ht="39" customHeight="1">
      <x:c r="A27" s="20" t="str">
        <x:v>弧翎</x:v>
      </x:c>
      <x:c r="B27" s="20" t="str">
        <x:v>Q1｜贯星</x:v>
      </x:c>
      <x:c r="C27" s="20" t="str">
        <x:v>首名敌人磁轨伤害</x:v>
      </x:c>
      <x:c r="D27" s="20" t="str">
        <x:v>点</x:v>
      </x:c>
      <x:c r="E27" s="42" t="n">
        <x:f>('弧翎技能'!$E$6+'弧翎技能'!$E$7/'检算基准'!$B$10*'检算基准'!$B$5)</x:f>
        <x:v>220</x:v>
      </x:c>
      <x:c r="F27" s="42" t="n">
        <x:f>('弧翎技能'!$F$6+'弧翎技能'!$F$7/'检算基准'!$B$10*'检算基准'!$B$5)</x:f>
        <x:v>250</x:v>
      </x:c>
      <x:c r="G27" s="42" t="n">
        <x:f>('弧翎技能'!$G$6+'弧翎技能'!$G$7/'检算基准'!$B$10*'检算基准'!$B$5)</x:f>
        <x:v>294</x:v>
      </x:c>
      <x:c r="H27" s="46" t="n">
        <x:f>('弧翎技能'!$H$6+'弧翎技能'!$H$7/'检算基准'!$B$10*'检算基准'!$B$5)</x:f>
        <x:v>368</x:v>
      </x:c>
      <x:c r="I27" s="46" t="n">
        <x:f>('弧翎技能'!$I$6+'弧翎技能'!$I$7/'检算基准'!$B$10*'检算基准'!$B$5)</x:f>
        <x:v>468</x:v>
      </x:c>
      <x:c r="J27" s="46" t="n">
        <x:f>('弧翎技能'!$J$6+'弧翎技能'!$J$7/'检算基准'!$B$10*'检算基准'!$B$5)</x:f>
        <x:v>590</x:v>
      </x:c>
      <x:c r="K27" s="42" t="n">
        <x:f>F27-E27</x:f>
        <x:v>30</x:v>
      </x:c>
      <x:c r="L27" s="42" t="n">
        <x:f>G27-F27</x:f>
        <x:v>44</x:v>
      </x:c>
      <x:c r="M27" s="42" t="n">
        <x:f>H27-G27</x:f>
        <x:v>74</x:v>
      </x:c>
      <x:c r="N27" s="42" t="n">
        <x:f>I27-H27</x:f>
        <x:v>100</x:v>
      </x:c>
      <x:c r="O27" s="42" t="n">
        <x:f>J27-I27</x:f>
        <x:v>122</x:v>
      </x:c>
      <x:c r="P27" s="43" t="n">
        <x:f>IFERROR(J27/E27-1,0)</x:f>
        <x:v>1.6818181818181817</x:v>
      </x:c>
      <x:c r="Q27" s="20" t="str"/>
    </x:row>
    <x:row r="28" ht="39" customHeight="1">
      <x:c r="A28" s="20" t="str">
        <x:v>弧翎</x:v>
      </x:c>
      <x:c r="B28" s="20" t="str">
        <x:v>Q2｜蜂群锁定</x:v>
      </x:c>
      <x:c r="C28" s="20" t="str">
        <x:v>单目标承弹上限伤害</x:v>
      </x:c>
      <x:c r="D28" s="20" t="str">
        <x:v>点</x:v>
      </x:c>
      <x:c r="E28" s="42" t="n">
        <x:f>'弧翎技能'!$E$22*('弧翎技能'!$E$19+'弧翎技能'!$E$20/'检算基准'!$B$10*'检算基准'!$B$5)</x:f>
        <x:v>180</x:v>
      </x:c>
      <x:c r="F28" s="42" t="n">
        <x:f>'弧翎技能'!$F$22*('弧翎技能'!$F$19+'弧翎技能'!$F$20/'检算基准'!$B$10*'检算基准'!$B$5)</x:f>
        <x:v>198</x:v>
      </x:c>
      <x:c r="G28" s="42" t="n">
        <x:f>'弧翎技能'!$G$22*('弧翎技能'!$G$19+'弧翎技能'!$G$20/'检算基准'!$B$10*'检算基准'!$B$5)</x:f>
        <x:v>228</x:v>
      </x:c>
      <x:c r="H28" s="46" t="n">
        <x:f>'弧翎技能'!$H$22*('弧翎技能'!$H$19+'弧翎技能'!$H$20/'检算基准'!$B$10*'检算基准'!$B$5)</x:f>
        <x:v>360</x:v>
      </x:c>
      <x:c r="I28" s="46" t="n">
        <x:f>'弧翎技能'!$I$22*('弧翎技能'!$I$19+'弧翎技能'!$I$20/'检算基准'!$B$10*'检算基准'!$B$5)</x:f>
        <x:v>444</x:v>
      </x:c>
      <x:c r="J28" s="46" t="n">
        <x:f>'弧翎技能'!$J$22*('弧翎技能'!$J$19+'弧翎技能'!$J$20/'检算基准'!$B$10*'检算基准'!$B$5)</x:f>
        <x:v>680</x:v>
      </x:c>
      <x:c r="K28" s="42" t="n">
        <x:f>F28-E28</x:f>
        <x:v>18</x:v>
      </x:c>
      <x:c r="L28" s="42" t="n">
        <x:f>G28-F28</x:f>
        <x:v>30</x:v>
      </x:c>
      <x:c r="M28" s="42" t="n">
        <x:f>H28-G28</x:f>
        <x:v>132</x:v>
      </x:c>
      <x:c r="N28" s="42" t="n">
        <x:f>I28-H28</x:f>
        <x:v>84</x:v>
      </x:c>
      <x:c r="O28" s="42" t="n">
        <x:f>J28-I28</x:f>
        <x:v>236</x:v>
      </x:c>
      <x:c r="P28" s="43" t="n">
        <x:f>IFERROR(J28/E28-1,0)</x:f>
        <x:v>2.7777777777777777</x:v>
      </x:c>
      <x:c r="Q28" s="20" t="str"/>
    </x:row>
    <x:row r="29" ht="39" customHeight="1">
      <x:c r="A29" s="20" t="str">
        <x:v>弧翎</x:v>
      </x:c>
      <x:c r="B29" s="20" t="str">
        <x:v>Q3｜折光刃轮</x:v>
      </x:c>
      <x:c r="C29" s="20" t="str">
        <x:v>同目标最大基础命中伤害</x:v>
      </x:c>
      <x:c r="D29" s="20" t="str">
        <x:v>点</x:v>
      </x:c>
      <x:c r="E29" s="42" t="n">
        <x:f>'弧翎技能'!$E$30*('弧翎技能'!$E$28+'弧翎技能'!$E$29/'检算基准'!$B$10*'检算基准'!$B$5)</x:f>
        <x:v>190</x:v>
      </x:c>
      <x:c r="F29" s="42" t="n">
        <x:f>'弧翎技能'!$F$30*('弧翎技能'!$F$28+'弧翎技能'!$F$29/'检算基准'!$B$10*'检算基准'!$B$5)</x:f>
        <x:v>220</x:v>
      </x:c>
      <x:c r="G29" s="42" t="n">
        <x:f>'弧翎技能'!$G$30*('弧翎技能'!$G$28+'弧翎技能'!$G$29/'检算基准'!$B$10*'检算基准'!$B$5)</x:f>
        <x:v>264</x:v>
      </x:c>
      <x:c r="H29" s="46" t="n">
        <x:f>'弧翎技能'!$H$30*('弧翎技能'!$H$28+'弧翎技能'!$H$29/'检算基准'!$B$10*'检算基准'!$B$5)</x:f>
        <x:v>338</x:v>
      </x:c>
      <x:c r="I29" s="46" t="n">
        <x:f>'弧翎技能'!$I$30*('弧翎技能'!$I$28+'弧翎技能'!$I$29/'检算基准'!$B$10*'检算基准'!$B$5)</x:f>
        <x:v>438</x:v>
      </x:c>
      <x:c r="J29" s="46" t="n">
        <x:f>'弧翎技能'!$J$30*('弧翎技能'!$J$28+'弧翎技能'!$J$29/'检算基准'!$B$10*'检算基准'!$B$5)</x:f>
        <x:v>560</x:v>
      </x:c>
      <x:c r="K29" s="42" t="n">
        <x:f>F29-E29</x:f>
        <x:v>30</x:v>
      </x:c>
      <x:c r="L29" s="42" t="n">
        <x:f>G29-F29</x:f>
        <x:v>44</x:v>
      </x:c>
      <x:c r="M29" s="42" t="n">
        <x:f>H29-G29</x:f>
        <x:v>74</x:v>
      </x:c>
      <x:c r="N29" s="42" t="n">
        <x:f>I29-H29</x:f>
        <x:v>100</x:v>
      </x:c>
      <x:c r="O29" s="42" t="n">
        <x:f>J29-I29</x:f>
        <x:v>122</x:v>
      </x:c>
      <x:c r="P29" s="43" t="n">
        <x:f>IFERROR(J29/E29-1,0)</x:f>
        <x:v>1.9473684210526314</x:v>
      </x:c>
      <x:c r="Q29" s="20" t="str">
        <x:v>不计墙壁反弹增伤。</x:v>
      </x:c>
    </x:row>
    <x:row r="30" ht="39" customHeight="1">
      <x:c r="A30" s="20" t="str">
        <x:v>弧翎</x:v>
      </x:c>
      <x:c r="B30" s="20" t="str">
        <x:v>E1｜逆冲</x:v>
      </x:c>
      <x:c r="C30" s="20" t="str">
        <x:v>全部光针命中伤害</x:v>
      </x:c>
      <x:c r="D30" s="20" t="str">
        <x:v>点</x:v>
      </x:c>
      <x:c r="E30" s="42" t="n">
        <x:f>'弧翎技能'!$E$33*('弧翎技能'!$E$36+'弧翎技能'!$E$37/'检算基准'!$B$10*'检算基准'!$B$5)</x:f>
        <x:v>165</x:v>
      </x:c>
      <x:c r="F30" s="42" t="n">
        <x:f>'弧翎技能'!$F$33*('弧翎技能'!$F$36+'弧翎技能'!$F$37/'检算基准'!$B$10*'检算基准'!$B$5)</x:f>
        <x:v>186</x:v>
      </x:c>
      <x:c r="G30" s="42" t="n">
        <x:f>'弧翎技能'!$G$33*('弧翎技能'!$G$36+'弧翎技能'!$G$37/'检算基准'!$B$10*'检算基准'!$B$5)</x:f>
        <x:v>213</x:v>
      </x:c>
      <x:c r="H30" s="46" t="n">
        <x:f>'弧翎技能'!$H$33*('弧翎技能'!$H$36+'弧翎技能'!$H$37/'检算基准'!$B$10*'检算基准'!$B$5)</x:f>
        <x:v>264</x:v>
      </x:c>
      <x:c r="I30" s="46" t="n">
        <x:f>'弧翎技能'!$I$33*('弧翎技能'!$I$36+'弧翎技能'!$I$37/'检算基准'!$B$10*'检算基准'!$B$5)</x:f>
        <x:v>330</x:v>
      </x:c>
      <x:c r="J30" s="46" t="n">
        <x:f>'弧翎技能'!$J$33*('弧翎技能'!$J$36+'弧翎技能'!$J$37/'检算基准'!$B$10*'检算基准'!$B$5)</x:f>
        <x:v>411</x:v>
      </x:c>
      <x:c r="K30" s="42" t="n">
        <x:f>F30-E30</x:f>
        <x:v>21</x:v>
      </x:c>
      <x:c r="L30" s="42" t="n">
        <x:f>G30-F30</x:f>
        <x:v>27</x:v>
      </x:c>
      <x:c r="M30" s="42" t="n">
        <x:f>H30-G30</x:f>
        <x:v>51</x:v>
      </x:c>
      <x:c r="N30" s="42" t="n">
        <x:f>I30-H30</x:f>
        <x:v>66</x:v>
      </x:c>
      <x:c r="O30" s="42" t="n">
        <x:f>J30-I30</x:f>
        <x:v>81</x:v>
      </x:c>
      <x:c r="P30" s="43" t="n">
        <x:f>IFERROR(J30/E30-1,0)</x:f>
        <x:v>1.4909090909090907</x:v>
      </x:c>
      <x:c r="Q30" s="20" t="str"/>
    </x:row>
    <x:row r="31" ht="39" customHeight="1">
      <x:c r="A31" s="20" t="str">
        <x:v>弧翎</x:v>
      </x:c>
      <x:c r="B31" s="20" t="str">
        <x:v>E2｜六翼悬膛</x:v>
      </x:c>
      <x:c r="C31" s="20" t="str">
        <x:v>首翼起存完整六翼周期</x:v>
      </x:c>
      <x:c r="D31" s="20" t="str">
        <x:v>点</x:v>
      </x:c>
      <x:c r="E31" s="42" t="n">
        <x:f>(('基础与资源'!$F$21-1)*'基础与资源'!$F$25+'基础与资源'!$F$26)/'检算基准'!$B$10*'检算基准'!$B$5*'弧翎技能'!$E$45/'检算基准'!$B$10</x:f>
        <x:v>704</x:v>
      </x:c>
      <x:c r="F31" s="42" t="n">
        <x:f>(('基础与资源'!$F$21-1)*'基础与资源'!$F$25+'基础与资源'!$F$26)/'检算基准'!$B$10*'检算基准'!$B$5*'弧翎技能'!$F$45/'检算基准'!$B$10</x:f>
        <x:v>729.6</x:v>
      </x:c>
      <x:c r="G31" s="42" t="n">
        <x:f>(('基础与资源'!$F$21-1)*'基础与资源'!$F$25+'基础与资源'!$F$26)/'检算基准'!$B$10*'检算基准'!$B$5*'弧翎技能'!$G$45/'检算基准'!$B$10</x:f>
        <x:v>761.6</x:v>
      </x:c>
      <x:c r="H31" s="46" t="n">
        <x:f>(('基础与资源'!$F$21-1)*'基础与资源'!$F$25+'基础与资源'!$F$26)/'检算基准'!$B$10*'检算基准'!$B$5*'弧翎技能'!$H$45/'检算基准'!$B$10</x:f>
        <x:v>819.2</x:v>
      </x:c>
      <x:c r="I31" s="46" t="n">
        <x:f>(('基础与资源'!$F$21-1)*'基础与资源'!$F$25+'基础与资源'!$F$26)/'检算基准'!$B$10*'检算基准'!$B$5*'弧翎技能'!$I$45/'检算基准'!$B$10</x:f>
        <x:v>896</x:v>
      </x:c>
      <x:c r="J31" s="46" t="n">
        <x:f>(('基础与资源'!$F$21-1)*'基础与资源'!$F$25+'基础与资源'!$F$26)/'检算基准'!$B$10*'检算基准'!$B$5*'弧翎技能'!$J$45/'检算基准'!$B$10</x:f>
        <x:v>992</x:v>
      </x:c>
      <x:c r="K31" s="42" t="n">
        <x:f>F31-E31</x:f>
        <x:v>25.600000000000023</x:v>
      </x:c>
      <x:c r="L31" s="42" t="n">
        <x:f>G31-F31</x:f>
        <x:v>32</x:v>
      </x:c>
      <x:c r="M31" s="42" t="n">
        <x:f>H31-G31</x:f>
        <x:v>57.60000000000002</x:v>
      </x:c>
      <x:c r="N31" s="42" t="n">
        <x:f>I31-H31</x:f>
        <x:v>76.79999999999995</x:v>
      </x:c>
      <x:c r="O31" s="42" t="n">
        <x:f>J31-I31</x:f>
        <x:v>96</x:v>
      </x:c>
      <x:c r="P31" s="43" t="n">
        <x:f>IFERROR(J31/E31-1,0)</x:f>
        <x:v>0.40909090909090917</x:v>
      </x:c>
      <x:c r="Q31" s="20" t="str">
        <x:v>储存从第一翼开始；不含专属海克斯。</x:v>
      </x:c>
    </x:row>
    <x:row r="32" ht="39" customHeight="1">
      <x:c r="A32" s="20" t="str">
        <x:v>弧翎</x:v>
      </x:c>
      <x:c r="B32" s="20" t="str">
        <x:v>E3｜六翼闭合</x:v>
      </x:c>
      <x:c r="C32" s="20" t="str">
        <x:v>闭合护盾值</x:v>
      </x:c>
      <x:c r="D32" s="20" t="str">
        <x:v>点</x:v>
      </x:c>
      <x:c r="E32" s="42" t="n">
        <x:f>('弧翎技能'!$E$47+'弧翎技能'!$E$48/'检算基准'!$B$10*'检算基准'!$B$5)</x:f>
        <x:v>280</x:v>
      </x:c>
      <x:c r="F32" s="42" t="n">
        <x:f>('弧翎技能'!$F$47+'弧翎技能'!$F$48/'检算基准'!$B$10*'检算基准'!$B$5)</x:f>
        <x:v>338</x:v>
      </x:c>
      <x:c r="G32" s="42" t="n">
        <x:f>('弧翎技能'!$G$47+'弧翎技能'!$G$48/'检算基准'!$B$10*'检算基准'!$B$5)</x:f>
        <x:v>426</x:v>
      </x:c>
      <x:c r="H32" s="46" t="n">
        <x:f>('弧翎技能'!$H$47+'弧翎技能'!$H$48/'检算基准'!$B$10*'检算基准'!$B$5)</x:f>
        <x:v>572</x:v>
      </x:c>
      <x:c r="I32" s="46" t="n">
        <x:f>('弧翎技能'!$I$47+'弧翎技能'!$I$48/'检算基准'!$B$10*'检算基准'!$B$5)</x:f>
        <x:v>769</x:v>
      </x:c>
      <x:c r="J32" s="46" t="n">
        <x:f>('弧翎技能'!$J$47+'弧翎技能'!$J$48/'检算基准'!$B$10*'检算基准'!$B$5)</x:f>
        <x:v>1010</x:v>
      </x:c>
      <x:c r="K32" s="42" t="n">
        <x:f>F32-E32</x:f>
        <x:v>58</x:v>
      </x:c>
      <x:c r="L32" s="42" t="n">
        <x:f>G32-F32</x:f>
        <x:v>88</x:v>
      </x:c>
      <x:c r="M32" s="42" t="n">
        <x:f>H32-G32</x:f>
        <x:v>146</x:v>
      </x:c>
      <x:c r="N32" s="42" t="n">
        <x:f>I32-H32</x:f>
        <x:v>197</x:v>
      </x:c>
      <x:c r="O32" s="42" t="n">
        <x:f>J32-I32</x:f>
        <x:v>241</x:v>
      </x:c>
      <x:c r="P32" s="43" t="n">
        <x:f>IFERROR(J32/E32-1,0)</x:f>
        <x:v>2.607142857142857</x:v>
      </x:c>
      <x:c r="Q32" s="20" t="str"/>
    </x:row>
    <x:row r="33" ht="39" customHeight="1">
      <x:c r="A33" s="20" t="str">
        <x:v>弧翎</x:v>
      </x:c>
      <x:c r="B33" s="20" t="str">
        <x:v>P1｜终端校准</x:v>
      </x:c>
      <x:c r="C33" s="20" t="str">
        <x:v>满层最终增伤</x:v>
      </x:c>
      <x:c r="D33" s="20" t="str">
        <x:v>%</x:v>
      </x:c>
      <x:c r="E33" s="42" t="n">
        <x:f>'弧翎技能'!$E$56</x:f>
        <x:v>20</x:v>
      </x:c>
      <x:c r="F33" s="42" t="n">
        <x:f>'弧翎技能'!$F$56</x:f>
        <x:v>30</x:v>
      </x:c>
      <x:c r="G33" s="46" t="n">
        <x:f>'弧翎技能'!$G$56</x:f>
        <x:v>50</x:v>
      </x:c>
      <x:c r="H33" s="46" t="n">
        <x:f>'弧翎技能'!$H$56</x:f>
        <x:v>85</x:v>
      </x:c>
      <x:c r="I33" s="42"/>
      <x:c r="J33" s="42"/>
      <x:c r="K33" s="42" t="n">
        <x:f>F33-E33</x:f>
        <x:v>10</x:v>
      </x:c>
      <x:c r="L33" s="42" t="n">
        <x:f>G33-F33</x:f>
        <x:v>20</x:v>
      </x:c>
      <x:c r="M33" s="42" t="n">
        <x:f>H33-G33</x:f>
        <x:v>35</x:v>
      </x:c>
      <x:c r="N33" s="42"/>
      <x:c r="O33" s="42"/>
      <x:c r="P33" s="43" t="n">
        <x:f>IFERROR(H33/E33-1,0)</x:f>
        <x:v>3.25</x:v>
      </x:c>
      <x:c r="Q33" s="20" t="str"/>
    </x:row>
    <x:row r="34" ht="39" customHeight="1">
      <x:c r="A34" s="20" t="str">
        <x:v>弧翎</x:v>
      </x:c>
      <x:c r="B34" s="20" t="str">
        <x:v>P2｜游隼协议</x:v>
      </x:c>
      <x:c r="C34" s="20" t="str">
        <x:v>游隼追加伤害</x:v>
      </x:c>
      <x:c r="D34" s="20" t="str">
        <x:v>点</x:v>
      </x:c>
      <x:c r="E34" s="42" t="n">
        <x:f>('弧翎技能'!$E$59+'弧翎技能'!$E$60/'检算基准'!$B$10*'检算基准'!$B$5)</x:f>
        <x:v>30</x:v>
      </x:c>
      <x:c r="F34" s="42" t="n">
        <x:f>('弧翎技能'!$F$59+'弧翎技能'!$F$60/'检算基准'!$B$10*'检算基准'!$B$5)</x:f>
        <x:v>45</x:v>
      </x:c>
      <x:c r="G34" s="46" t="n">
        <x:f>('弧翎技能'!$G$59+'弧翎技能'!$G$60/'检算基准'!$B$10*'检算基准'!$B$5)</x:f>
        <x:v>80</x:v>
      </x:c>
      <x:c r="H34" s="46" t="n">
        <x:f>('弧翎技能'!$H$59+'弧翎技能'!$H$60/'检算基准'!$B$10*'检算基准'!$B$5)</x:f>
        <x:v>142</x:v>
      </x:c>
      <x:c r="I34" s="42"/>
      <x:c r="J34" s="42"/>
      <x:c r="K34" s="42" t="n">
        <x:f>F34-E34</x:f>
        <x:v>15</x:v>
      </x:c>
      <x:c r="L34" s="42" t="n">
        <x:f>G34-F34</x:f>
        <x:v>35</x:v>
      </x:c>
      <x:c r="M34" s="42" t="n">
        <x:f>H34-G34</x:f>
        <x:v>62</x:v>
      </x:c>
      <x:c r="N34" s="42"/>
      <x:c r="O34" s="42"/>
      <x:c r="P34" s="43" t="n">
        <x:f>IFERROR(H34/E34-1,0)</x:f>
        <x:v>3.7333333333333334</x:v>
      </x:c>
      <x:c r="Q34" s="20" t="str"/>
    </x:row>
    <x:row r="35" ht="39" customHeight="1">
      <x:c r="A35" s="20" t="str">
        <x:v>弧翎</x:v>
      </x:c>
      <x:c r="B35" s="20" t="str">
        <x:v>P3｜群猎协议</x:v>
      </x:c>
      <x:c r="C35" s="20" t="str">
        <x:v>辅助光针伤害</x:v>
      </x:c>
      <x:c r="D35" s="20" t="str">
        <x:v>点</x:v>
      </x:c>
      <x:c r="E35" s="42" t="n">
        <x:f>'弧翎技能'!$E$62/'检算基准'!$B$10*'检算基准'!$B$5</x:f>
        <x:v>25</x:v>
      </x:c>
      <x:c r="F35" s="42" t="n">
        <x:f>'弧翎技能'!$F$62/'检算基准'!$B$10*'检算基准'!$B$5</x:f>
        <x:v>35</x:v>
      </x:c>
      <x:c r="G35" s="46" t="n">
        <x:f>'弧翎技能'!$G$62/'检算基准'!$B$10*'检算基准'!$B$5</x:f>
        <x:v>55.00000000000001</x:v>
      </x:c>
      <x:c r="H35" s="46" t="n">
        <x:f>'弧翎技能'!$H$62/'检算基准'!$B$10*'检算基准'!$B$5</x:f>
        <x:v>85</x:v>
      </x:c>
      <x:c r="I35" s="42"/>
      <x:c r="J35" s="42"/>
      <x:c r="K35" s="42" t="n">
        <x:f>F35-E35</x:f>
        <x:v>10</x:v>
      </x:c>
      <x:c r="L35" s="42" t="n">
        <x:f>G35-F35</x:f>
        <x:v>20.000000000000007</x:v>
      </x:c>
      <x:c r="M35" s="42" t="n">
        <x:f>H35-G35</x:f>
        <x:v>29.999999999999993</x:v>
      </x:c>
      <x:c r="N35" s="42"/>
      <x:c r="O35" s="42"/>
      <x:c r="P35" s="43" t="n">
        <x:f>IFERROR(H35/E35-1,0)</x:f>
        <x:v>2.4</x:v>
      </x:c>
      <x:c r="Q35" s="20" t="str"/>
    </x:row>
    <x:row r="36" ht="39" customHeight="1">
      <x:c r="A36" s="20" t="str">
        <x:v>弧翎</x:v>
      </x:c>
      <x:c r="B36" s="20" t="str">
        <x:v>R1｜六翼解封</x:v>
      </x:c>
      <x:c r="C36" s="20" t="str">
        <x:v>无外部攻速时持续普攻DPS</x:v>
      </x:c>
      <x:c r="D36" s="20" t="str">
        <x:v>点/秒</x:v>
      </x:c>
      <x:c r="E36" s="42" t="n">
        <x:f>'检算基准'!$B$5*'弧翎技能'!$E$65/'检算基准'!$B$10*MIN('弧翎技能'!$E$67,'基础与资源'!$F$22*(1+'弧翎技能'!$E$66/'检算基准'!$B$10))</x:f>
        <x:v>262.5</x:v>
      </x:c>
      <x:c r="F36" s="42" t="n">
        <x:f>'检算基准'!$B$5*'弧翎技能'!$F$65/'检算基准'!$B$10*MIN('弧翎技能'!$F$67,'基础与资源'!$F$22*(1+'弧翎技能'!$F$66/'检算基准'!$B$10))</x:f>
        <x:v>308.1</x:v>
      </x:c>
      <x:c r="G36" s="46" t="n">
        <x:f>'检算基准'!$B$5*'弧翎技能'!$G$65/'检算基准'!$B$10*MIN('弧翎技能'!$G$67,'基础与资源'!$F$22*(1+'弧翎技能'!$G$66/'检算基准'!$B$10))</x:f>
        <x:v>420</x:v>
      </x:c>
      <x:c r="H36" s="46" t="n">
        <x:f>'检算基准'!$B$5*'弧翎技能'!$H$65/'检算基准'!$B$10*MIN('弧翎技能'!$H$67,'基础与资源'!$F$22*(1+'弧翎技能'!$H$66/'检算基准'!$B$10))</x:f>
        <x:v>620</x:v>
      </x:c>
      <x:c r="I36" s="42"/>
      <x:c r="J36" s="42"/>
      <x:c r="K36" s="42" t="n">
        <x:f>F36-E36</x:f>
        <x:v>45.60000000000002</x:v>
      </x:c>
      <x:c r="L36" s="42" t="n">
        <x:f>G36-F36</x:f>
        <x:v>111.89999999999998</x:v>
      </x:c>
      <x:c r="M36" s="42" t="n">
        <x:f>H36-G36</x:f>
        <x:v>200</x:v>
      </x:c>
      <x:c r="N36" s="42"/>
      <x:c r="O36" s="42"/>
      <x:c r="P36" s="43" t="n">
        <x:f>IFERROR(H36/E36-1,0)</x:f>
        <x:v>1.361904761904762</x:v>
      </x:c>
      <x:c r="Q36" s="20" t="str">
        <x:v>不计暴击、装备、被动与附加火力。</x:v>
      </x:c>
    </x:row>
    <x:row r="37" ht="39" customHeight="1">
      <x:c r="A37" s="20" t="str">
        <x:v>弧翎</x:v>
      </x:c>
      <x:c r="B37" s="20" t="str">
        <x:v>R2｜天矛协议·六翼坠射</x:v>
      </x:c>
      <x:c r="C37" s="20" t="str">
        <x:v>全部天矛命中同一目标</x:v>
      </x:c>
      <x:c r="D37" s="20" t="str">
        <x:v>点</x:v>
      </x:c>
      <x:c r="E37" s="42" t="n">
        <x:f>'弧翎技能'!$E$72*(('弧翎技能'!$E$76+'弧翎技能'!$E$77/'检算基准'!$B$10*'检算基准'!$B$5)+'检算基准'!$B$8*'弧翎技能'!$E$78/'检算基准'!$B$10)</x:f>
        <x:v>4050</x:v>
      </x:c>
      <x:c r="F37" s="42" t="n">
        <x:f>'弧翎技能'!$F$72*(('弧翎技能'!$F$76+'弧翎技能'!$F$77/'检算基准'!$B$10*'检算基准'!$B$5)+'检算基准'!$B$8*'弧翎技能'!$F$78/'检算基准'!$B$10)</x:f>
        <x:v>4650</x:v>
      </x:c>
      <x:c r="G37" s="46" t="n">
        <x:f>'弧翎技能'!$G$72*(('弧翎技能'!$G$76+'弧翎技能'!$G$77/'检算基准'!$B$10*'检算基准'!$B$5)+'检算基准'!$B$8*'弧翎技能'!$G$78/'检算基准'!$B$10)</x:f>
        <x:v>6060</x:v>
      </x:c>
      <x:c r="H37" s="46" t="n">
        <x:f>'弧翎技能'!$H$72*(('弧翎技能'!$H$76+'弧翎技能'!$H$77/'检算基准'!$B$10*'检算基准'!$B$5)+'检算基准'!$B$8*'弧翎技能'!$H$78/'检算基准'!$B$10)</x:f>
        <x:v>8430</x:v>
      </x:c>
      <x:c r="I37" s="42"/>
      <x:c r="J37" s="42"/>
      <x:c r="K37" s="42" t="n">
        <x:f>F37-E37</x:f>
        <x:v>600</x:v>
      </x:c>
      <x:c r="L37" s="42" t="n">
        <x:f>G37-F37</x:f>
        <x:v>1410</x:v>
      </x:c>
      <x:c r="M37" s="42" t="n">
        <x:f>H37-G37</x:f>
        <x:v>2370</x:v>
      </x:c>
      <x:c r="N37" s="42"/>
      <x:c r="O37" s="42"/>
      <x:c r="P37" s="43" t="n">
        <x:f>IFERROR(H37/E37-1,0)</x:f>
        <x:v>1.0814814814814815</x:v>
      </x:c>
      <x:c r="Q37" s="20" t="str"/>
    </x:row>
    <x:row r="38" ht="39" customHeight="1">
      <x:c r="A38" s="20" t="str">
        <x:v>玄垒</x:v>
      </x:c>
      <x:c r="B38" s="20" t="str">
        <x:v>Q1｜摧城</x:v>
      </x:c>
      <x:c r="C38" s="20" t="str">
        <x:v>主段伤害</x:v>
      </x:c>
      <x:c r="D38" s="20" t="str">
        <x:v>点</x:v>
      </x:c>
      <x:c r="E38" s="42" t="n">
        <x:f>('玄垒技能'!$E$8+'玄垒技能'!$E$9/'检算基准'!$B$10*'检算基准'!$B$5)+'检算基准'!$B$7*'玄垒技能'!$E$10/'检算基准'!$B$10</x:f>
        <x:v>172.5</x:v>
      </x:c>
      <x:c r="F38" s="42" t="n">
        <x:f>('玄垒技能'!$F$8+'玄垒技能'!$F$9/'检算基准'!$B$10*'检算基准'!$B$5)+'检算基准'!$B$7*'玄垒技能'!$F$10/'检算基准'!$B$10</x:f>
        <x:v>194.1</x:v>
      </x:c>
      <x:c r="G38" s="42" t="n">
        <x:f>('玄垒技能'!$G$8+'玄垒技能'!$G$9/'检算基准'!$B$10*'检算基准'!$B$5)+'检算基准'!$B$7*'玄垒技能'!$G$10/'检算基准'!$B$10</x:f>
        <x:v>227.5</x:v>
      </x:c>
      <x:c r="H38" s="46" t="n">
        <x:f>('玄垒技能'!$H$8+'玄垒技能'!$H$9/'检算基准'!$B$10*'检算基准'!$B$5)+'检算基准'!$B$7*'玄垒技能'!$H$10/'检算基准'!$B$10</x:f>
        <x:v>282.5</x:v>
      </x:c>
      <x:c r="I38" s="46" t="n">
        <x:f>('玄垒技能'!$I$8+'玄垒技能'!$I$9/'检算基准'!$B$10*'检算基准'!$B$5)+'检算基准'!$B$7*'玄垒技能'!$I$10/'检算基准'!$B$10</x:f>
        <x:v>356.65</x:v>
      </x:c>
      <x:c r="J38" s="46" t="n">
        <x:f>('玄垒技能'!$J$8+'玄垒技能'!$J$9/'检算基准'!$B$10*'检算基准'!$B$5)+'检算基准'!$B$7*'玄垒技能'!$J$10/'检算基准'!$B$10</x:f>
        <x:v>447.5</x:v>
      </x:c>
      <x:c r="K38" s="42" t="n">
        <x:f>F38-E38</x:f>
        <x:v>21.599999999999994</x:v>
      </x:c>
      <x:c r="L38" s="42" t="n">
        <x:f>G38-F38</x:f>
        <x:v>33.400000000000006</x:v>
      </x:c>
      <x:c r="M38" s="42" t="n">
        <x:f>H38-G38</x:f>
        <x:v>55</x:v>
      </x:c>
      <x:c r="N38" s="42" t="n">
        <x:f>I38-H38</x:f>
        <x:v>74.14999999999998</x:v>
      </x:c>
      <x:c r="O38" s="42" t="n">
        <x:f>J38-I38</x:f>
        <x:v>90.85000000000002</x:v>
      </x:c>
      <x:c r="P38" s="43" t="n">
        <x:f>IFERROR(J38/E38-1,0)</x:f>
        <x:v>1.5942028985507246</x:v>
      </x:c>
      <x:c r="Q38" s="20" t="str"/>
    </x:row>
    <x:row r="39" ht="39" customHeight="1">
      <x:c r="A39" s="20" t="str">
        <x:v>玄垒</x:v>
      </x:c>
      <x:c r="B39" s="20" t="str">
        <x:v>Q2｜锁城索</x:v>
      </x:c>
      <x:c r="C39" s="20" t="str">
        <x:v>群拉主段伤害</x:v>
      </x:c>
      <x:c r="D39" s="20" t="str">
        <x:v>点</x:v>
      </x:c>
      <x:c r="E39" s="42" t="n">
        <x:f>('玄垒技能'!$E$17+'玄垒技能'!$E$18/'检算基准'!$B$10*'检算基准'!$B$5)</x:f>
        <x:v>120</x:v>
      </x:c>
      <x:c r="F39" s="42" t="n">
        <x:f>('玄垒技能'!$F$17+'玄垒技能'!$F$18/'检算基准'!$B$10*'检算基准'!$B$5)</x:f>
        <x:v>140</x:v>
      </x:c>
      <x:c r="G39" s="42" t="n">
        <x:f>('玄垒技能'!$G$17+'玄垒技能'!$G$18/'检算基准'!$B$10*'检算基准'!$B$5)</x:f>
        <x:v>169</x:v>
      </x:c>
      <x:c r="H39" s="46" t="n">
        <x:f>('玄垒技能'!$H$17+'玄垒技能'!$H$18/'检算基准'!$B$10*'检算基准'!$B$5)</x:f>
        <x:v>218</x:v>
      </x:c>
      <x:c r="I39" s="46" t="n">
        <x:f>('玄垒技能'!$I$17+'玄垒技能'!$I$18/'检算基准'!$B$10*'检算基准'!$B$5)</x:f>
        <x:v>284</x:v>
      </x:c>
      <x:c r="J39" s="46" t="n">
        <x:f>('玄垒技能'!$J$17+'玄垒技能'!$J$18/'检算基准'!$B$10*'检算基准'!$B$5)</x:f>
        <x:v>365</x:v>
      </x:c>
      <x:c r="K39" s="42" t="n">
        <x:f>F39-E39</x:f>
        <x:v>20</x:v>
      </x:c>
      <x:c r="L39" s="42" t="n">
        <x:f>G39-F39</x:f>
        <x:v>29</x:v>
      </x:c>
      <x:c r="M39" s="42" t="n">
        <x:f>H39-G39</x:f>
        <x:v>49</x:v>
      </x:c>
      <x:c r="N39" s="42" t="n">
        <x:f>I39-H39</x:f>
        <x:v>66</x:v>
      </x:c>
      <x:c r="O39" s="42" t="n">
        <x:f>J39-I39</x:f>
        <x:v>81</x:v>
      </x:c>
      <x:c r="P39" s="43" t="n">
        <x:f>IFERROR(J39/E39-1,0)</x:f>
        <x:v>2.0416666666666665</x:v>
      </x:c>
      <x:c r="Q39" s="20" t="str">
        <x:v>按机制正文，仅对普通敌人。</x:v>
      </x:c>
    </x:row>
    <x:row r="40" ht="39" customHeight="1">
      <x:c r="A40" s="20" t="str">
        <x:v>玄垒</x:v>
      </x:c>
      <x:c r="B40" s="20" t="str">
        <x:v>Q3｜横关</x:v>
      </x:c>
      <x:c r="C40" s="20" t="str">
        <x:v>主段与一次碰撞</x:v>
      </x:c>
      <x:c r="D40" s="20" t="str">
        <x:v>点</x:v>
      </x:c>
      <x:c r="E40" s="42" t="n">
        <x:f>('玄垒技能'!$E$24+'玄垒技能'!$E$25/'检算基准'!$B$10*'检算基准'!$B$5)+('玄垒技能'!$E$28+'玄垒技能'!$E$29/'检算基准'!$B$10*'检算基准'!$B$5)</x:f>
        <x:v>155</x:v>
      </x:c>
      <x:c r="F40" s="42" t="n">
        <x:f>('玄垒技能'!$F$24+'玄垒技能'!$F$25/'检算基准'!$B$10*'检算基准'!$B$5)+('玄垒技能'!$F$28+'玄垒技能'!$F$29/'检算基准'!$B$10*'检算基准'!$B$5)</x:f>
        <x:v>179</x:v>
      </x:c>
      <x:c r="G40" s="42" t="n">
        <x:f>('玄垒技能'!$G$24+'玄垒技能'!$G$25/'检算基准'!$B$10*'检算基准'!$B$5)+('玄垒技能'!$G$28+'玄垒技能'!$G$29/'检算基准'!$B$10*'检算基准'!$B$5)</x:f>
        <x:v>217</x:v>
      </x:c>
      <x:c r="H40" s="46" t="n">
        <x:f>('玄垒技能'!$H$24+'玄垒技能'!$H$25/'检算基准'!$B$10*'检算基准'!$B$5)+('玄垒技能'!$H$28+'玄垒技能'!$H$29/'检算基准'!$B$10*'检算基准'!$B$5)</x:f>
        <x:v>279</x:v>
      </x:c>
      <x:c r="I40" s="46" t="n">
        <x:f>('玄垒技能'!$I$24+'玄垒技能'!$I$25/'检算基准'!$B$10*'检算基准'!$B$5)+('玄垒技能'!$I$28+'玄垒技能'!$I$29/'检算基准'!$B$10*'检算基准'!$B$5)</x:f>
        <x:v>364</x:v>
      </x:c>
      <x:c r="J40" s="46" t="n">
        <x:f>('玄垒技能'!$J$24+'玄垒技能'!$J$25/'检算基准'!$B$10*'检算基准'!$B$5)+('玄垒技能'!$J$28+'玄垒技能'!$J$29/'检算基准'!$B$10*'检算基准'!$B$5)</x:f>
        <x:v>465</x:v>
      </x:c>
      <x:c r="K40" s="42" t="n">
        <x:f>F40-E40</x:f>
        <x:v>24</x:v>
      </x:c>
      <x:c r="L40" s="42" t="n">
        <x:f>G40-F40</x:f>
        <x:v>38</x:v>
      </x:c>
      <x:c r="M40" s="42" t="n">
        <x:f>H40-G40</x:f>
        <x:v>62</x:v>
      </x:c>
      <x:c r="N40" s="42" t="n">
        <x:f>I40-H40</x:f>
        <x:v>85</x:v>
      </x:c>
      <x:c r="O40" s="42" t="n">
        <x:f>J40-I40</x:f>
        <x:v>101</x:v>
      </x:c>
      <x:c r="P40" s="43" t="n">
        <x:f>IFERROR(J40/E40-1,0)</x:f>
        <x:v>2</x:v>
      </x:c>
      <x:c r="Q40" s="20" t="str"/>
    </x:row>
    <x:row r="41" ht="39" customHeight="1">
      <x:c r="A41" s="20" t="str">
        <x:v>玄垒</x:v>
      </x:c>
      <x:c r="B41" s="20" t="str">
        <x:v>E1｜镇门</x:v>
      </x:c>
      <x:c r="C41" s="20" t="str">
        <x:v>顶门反击伤害</x:v>
      </x:c>
      <x:c r="D41" s="20" t="str">
        <x:v>点</x:v>
      </x:c>
      <x:c r="E41" s="42" t="n">
        <x:f>('玄垒技能'!$E$38+'玄垒技能'!$E$39/'检算基准'!$B$10*'检算基准'!$B$5)</x:f>
        <x:v>90</x:v>
      </x:c>
      <x:c r="F41" s="42" t="n">
        <x:f>('玄垒技能'!$F$38+'玄垒技能'!$F$39/'检算基准'!$B$10*'检算基准'!$B$5)</x:f>
        <x:v>107</x:v>
      </x:c>
      <x:c r="G41" s="42" t="n">
        <x:f>('玄垒技能'!$G$38+'玄垒技能'!$G$39/'检算基准'!$B$10*'检算基准'!$B$5)</x:f>
        <x:v>134</x:v>
      </x:c>
      <x:c r="H41" s="46" t="n">
        <x:f>('玄垒技能'!$H$38+'玄垒技能'!$H$39/'检算基准'!$B$10*'检算基准'!$B$5)</x:f>
        <x:v>178</x:v>
      </x:c>
      <x:c r="I41" s="46" t="n">
        <x:f>('玄垒技能'!$I$38+'玄垒技能'!$I$39/'检算基准'!$B$10*'检算基准'!$B$5)</x:f>
        <x:v>238</x:v>
      </x:c>
      <x:c r="J41" s="46" t="n">
        <x:f>('玄垒技能'!$J$38+'玄垒技能'!$J$39/'检算基准'!$B$10*'检算基准'!$B$5)</x:f>
        <x:v>310</x:v>
      </x:c>
      <x:c r="K41" s="42" t="n">
        <x:f>F41-E41</x:f>
        <x:v>17</x:v>
      </x:c>
      <x:c r="L41" s="42" t="n">
        <x:f>G41-F41</x:f>
        <x:v>27</x:v>
      </x:c>
      <x:c r="M41" s="42" t="n">
        <x:f>H41-G41</x:f>
        <x:v>44</x:v>
      </x:c>
      <x:c r="N41" s="42" t="n">
        <x:f>I41-H41</x:f>
        <x:v>60</x:v>
      </x:c>
      <x:c r="O41" s="42" t="n">
        <x:f>J41-I41</x:f>
        <x:v>72</x:v>
      </x:c>
      <x:c r="P41" s="43" t="n">
        <x:f>IFERROR(J41/E41-1,0)</x:f>
        <x:v>2.4444444444444446</x:v>
      </x:c>
      <x:c r="Q41" s="20" t="str"/>
    </x:row>
    <x:row r="42" ht="39" customHeight="1">
      <x:c r="A42" s="20" t="str">
        <x:v>玄垒</x:v>
      </x:c>
      <x:c r="B42" s="20" t="str">
        <x:v>E2｜冲垒</x:v>
      </x:c>
      <x:c r="C42" s="20" t="str">
        <x:v>主段与撞墙全中</x:v>
      </x:c>
      <x:c r="D42" s="20" t="str">
        <x:v>点</x:v>
      </x:c>
      <x:c r="E42" s="42" t="n">
        <x:f>('玄垒技能'!$E$46+'玄垒技能'!$E$47/'检算基准'!$B$10*'检算基准'!$B$5)+('玄垒技能'!$E$48+'玄垒技能'!$E$49/'检算基准'!$B$10*'检算基准'!$B$5)</x:f>
        <x:v>195</x:v>
      </x:c>
      <x:c r="F42" s="42" t="n">
        <x:f>('玄垒技能'!$F$46+'玄垒技能'!$F$47/'检算基准'!$B$10*'检算基准'!$B$5)+('玄垒技能'!$F$48+'玄垒技能'!$F$49/'检算基准'!$B$10*'检算基准'!$B$5)</x:f>
        <x:v>226</x:v>
      </x:c>
      <x:c r="G42" s="42" t="n">
        <x:f>('玄垒技能'!$G$46+'玄垒技能'!$G$47/'检算基准'!$B$10*'检算基准'!$B$5)+('玄垒技能'!$G$48+'玄垒技能'!$G$49/'检算基准'!$B$10*'检算基准'!$B$5)</x:f>
        <x:v>271</x:v>
      </x:c>
      <x:c r="H42" s="46" t="n">
        <x:f>('玄垒技能'!$H$46+'玄垒技能'!$H$47/'检算基准'!$B$10*'检算基准'!$B$5)+('玄垒技能'!$H$48+'玄垒技能'!$H$49/'检算基准'!$B$10*'检算基准'!$B$5)</x:f>
        <x:v>347</x:v>
      </x:c>
      <x:c r="I42" s="46" t="n">
        <x:f>('玄垒技能'!$I$46+'玄垒技能'!$I$47/'检算基准'!$B$10*'检算基准'!$B$5)+('玄垒技能'!$I$48+'玄垒技能'!$I$49/'检算基准'!$B$10*'检算基准'!$B$5)</x:f>
        <x:v>449</x:v>
      </x:c>
      <x:c r="J42" s="46" t="n">
        <x:f>('玄垒技能'!$J$46+'玄垒技能'!$J$47/'检算基准'!$B$10*'检算基准'!$B$5)+('玄垒技能'!$J$48+'玄垒技能'!$J$49/'检算基准'!$B$10*'检算基准'!$B$5)</x:f>
        <x:v>575</x:v>
      </x:c>
      <x:c r="K42" s="42" t="n">
        <x:f>F42-E42</x:f>
        <x:v>31</x:v>
      </x:c>
      <x:c r="L42" s="42" t="n">
        <x:f>G42-F42</x:f>
        <x:v>45</x:v>
      </x:c>
      <x:c r="M42" s="42" t="n">
        <x:f>H42-G42</x:f>
        <x:v>76</x:v>
      </x:c>
      <x:c r="N42" s="42" t="n">
        <x:f>I42-H42</x:f>
        <x:v>102</x:v>
      </x:c>
      <x:c r="O42" s="42" t="n">
        <x:f>J42-I42</x:f>
        <x:v>126</x:v>
      </x:c>
      <x:c r="P42" s="43" t="n">
        <x:f>IFERROR(J42/E42-1,0)</x:f>
        <x:v>1.948717948717949</x:v>
      </x:c>
      <x:c r="Q42" s="20" t="str"/>
    </x:row>
    <x:row r="43" ht="39" customHeight="1">
      <x:c r="A43" s="20" t="str">
        <x:v>玄垒</x:v>
      </x:c>
      <x:c r="B43" s="20" t="str">
        <x:v>E3｜合垒</x:v>
      </x:c>
      <x:c r="C43" s="20" t="str">
        <x:v>自身护盾</x:v>
      </x:c>
      <x:c r="D43" s="20" t="str">
        <x:v>点</x:v>
      </x:c>
      <x:c r="E43" s="42" t="n">
        <x:f>'检算基准'!$B$7*'玄垒技能'!$E$55/'检算基准'!$B$10*'玄垒技能'!$E$56</x:f>
        <x:v>240</x:v>
      </x:c>
      <x:c r="F43" s="42" t="n">
        <x:f>'检算基准'!$B$7*'玄垒技能'!$F$55/'检算基准'!$B$10*'玄垒技能'!$F$56</x:f>
        <x:v>270</x:v>
      </x:c>
      <x:c r="G43" s="42" t="n">
        <x:f>'检算基准'!$B$7*'玄垒技能'!$G$55/'检算基准'!$B$10*'玄垒技能'!$G$56</x:f>
        <x:v>330</x:v>
      </x:c>
      <x:c r="H43" s="46" t="n">
        <x:f>'检算基准'!$B$7*'玄垒技能'!$H$55/'检算基准'!$B$10*'玄垒技能'!$H$56</x:f>
        <x:v>450</x:v>
      </x:c>
      <x:c r="I43" s="46" t="n">
        <x:f>'检算基准'!$B$7*'玄垒技能'!$I$55/'检算基准'!$B$10*'玄垒技能'!$I$56</x:f>
        <x:v>630</x:v>
      </x:c>
      <x:c r="J43" s="46" t="n">
        <x:f>'检算基准'!$B$7*'玄垒技能'!$J$55/'检算基准'!$B$10*'玄垒技能'!$J$56</x:f>
        <x:v>870</x:v>
      </x:c>
      <x:c r="K43" s="42" t="n">
        <x:f>F43-E43</x:f>
        <x:v>30</x:v>
      </x:c>
      <x:c r="L43" s="42" t="n">
        <x:f>G43-F43</x:f>
        <x:v>60</x:v>
      </x:c>
      <x:c r="M43" s="42" t="n">
        <x:f>H43-G43</x:f>
        <x:v>120</x:v>
      </x:c>
      <x:c r="N43" s="42" t="n">
        <x:f>I43-H43</x:f>
        <x:v>180</x:v>
      </x:c>
      <x:c r="O43" s="42" t="n">
        <x:f>J43-I43</x:f>
        <x:v>240</x:v>
      </x:c>
      <x:c r="P43" s="43" t="n">
        <x:f>IFERROR(J43/E43-1,0)</x:f>
        <x:v>2.625</x:v>
      </x:c>
      <x:c r="Q43" s="20" t="str"/>
    </x:row>
    <x:row r="44" ht="39" customHeight="1">
      <x:c r="A44" s="20" t="str">
        <x:v>玄垒</x:v>
      </x:c>
      <x:c r="B44" s="20" t="str">
        <x:v>P1｜城骨</x:v>
      </x:c>
      <x:c r="C44" s="20" t="str">
        <x:v>满层防御加成</x:v>
      </x:c>
      <x:c r="D44" s="20" t="str">
        <x:v>%</x:v>
      </x:c>
      <x:c r="E44" s="42" t="n">
        <x:f>'玄垒技能'!$E$60*'玄垒技能'!$E$61</x:f>
        <x:v>12</x:v>
      </x:c>
      <x:c r="F44" s="42" t="n">
        <x:f>'玄垒技能'!$F$60*'玄垒技能'!$F$61</x:f>
        <x:v>16</x:v>
      </x:c>
      <x:c r="G44" s="46" t="n">
        <x:f>'玄垒技能'!$G$60*'玄垒技能'!$G$61</x:f>
        <x:v>24</x:v>
      </x:c>
      <x:c r="H44" s="46" t="n">
        <x:f>'玄垒技能'!$H$60*'玄垒技能'!$H$61</x:f>
        <x:v>36</x:v>
      </x:c>
      <x:c r="I44" s="42"/>
      <x:c r="J44" s="42"/>
      <x:c r="K44" s="42" t="n">
        <x:f>F44-E44</x:f>
        <x:v>4</x:v>
      </x:c>
      <x:c r="L44" s="42" t="n">
        <x:f>G44-F44</x:f>
        <x:v>8</x:v>
      </x:c>
      <x:c r="M44" s="42" t="n">
        <x:f>H44-G44</x:f>
        <x:v>12</x:v>
      </x:c>
      <x:c r="N44" s="42"/>
      <x:c r="O44" s="42"/>
      <x:c r="P44" s="43" t="n">
        <x:f>IFERROR(H44/E44-1,0)</x:f>
        <x:v>2</x:v>
      </x:c>
      <x:c r="Q44" s="20" t="str"/>
    </x:row>
    <x:row r="45" ht="39" customHeight="1">
      <x:c r="A45" s="20" t="str">
        <x:v>玄垒</x:v>
      </x:c>
      <x:c r="B45" s="20" t="str">
        <x:v>P2｜百创不折</x:v>
      </x:c>
      <x:c r="C45" s="20" t="str">
        <x:v>反震追加伤害</x:v>
      </x:c>
      <x:c r="D45" s="20" t="str">
        <x:v>点</x:v>
      </x:c>
      <x:c r="E45" s="42" t="n">
        <x:f>('玄垒技能'!$E$64+'玄垒技能'!$E$65/'检算基准'!$B$10*'检算基准'!$B$5)</x:f>
        <x:v>55</x:v>
      </x:c>
      <x:c r="F45" s="42" t="n">
        <x:f>('玄垒技能'!$F$64+'玄垒技能'!$F$65/'检算基准'!$B$10*'检算基准'!$B$5)</x:f>
        <x:v>82</x:v>
      </x:c>
      <x:c r="G45" s="46" t="n">
        <x:f>('玄垒技能'!$G$64+'玄垒技能'!$G$65/'检算基准'!$B$10*'检算基准'!$B$5)</x:f>
        <x:v>146</x:v>
      </x:c>
      <x:c r="H45" s="46" t="n">
        <x:f>('玄垒技能'!$H$64+'玄垒技能'!$H$65/'检算基准'!$B$10*'检算基准'!$B$5)</x:f>
        <x:v>255</x:v>
      </x:c>
      <x:c r="I45" s="42"/>
      <x:c r="J45" s="42"/>
      <x:c r="K45" s="42" t="n">
        <x:f>F45-E45</x:f>
        <x:v>27</x:v>
      </x:c>
      <x:c r="L45" s="42" t="n">
        <x:f>G45-F45</x:f>
        <x:v>64</x:v>
      </x:c>
      <x:c r="M45" s="42" t="n">
        <x:f>H45-G45</x:f>
        <x:v>109</x:v>
      </x:c>
      <x:c r="N45" s="42"/>
      <x:c r="O45" s="42"/>
      <x:c r="P45" s="43" t="n">
        <x:f>IFERROR(H45/E45-1,0)</x:f>
        <x:v>3.6363636363636367</x:v>
      </x:c>
      <x:c r="Q45" s="20" t="str">
        <x:v>不含治疗收益。</x:v>
      </x:c>
    </x:row>
    <x:row r="46" ht="39" customHeight="1">
      <x:c r="A46" s="20" t="str">
        <x:v>玄垒</x:v>
      </x:c>
      <x:c r="B46" s="20" t="str">
        <x:v>P3｜残城</x:v>
      </x:c>
      <x:c r="C46" s="20" t="str">
        <x:v>最高攻击力加成</x:v>
      </x:c>
      <x:c r="D46" s="20" t="str">
        <x:v>%</x:v>
      </x:c>
      <x:c r="E46" s="42" t="n">
        <x:f>'玄垒技能'!$E$69</x:f>
        <x:v>12</x:v>
      </x:c>
      <x:c r="F46" s="42" t="n">
        <x:f>'玄垒技能'!$F$69</x:f>
        <x:v>18</x:v>
      </x:c>
      <x:c r="G46" s="46" t="n">
        <x:f>'玄垒技能'!$G$69</x:f>
        <x:v>30</x:v>
      </x:c>
      <x:c r="H46" s="46" t="n">
        <x:f>'玄垒技能'!$H$69</x:f>
        <x:v>50</x:v>
      </x:c>
      <x:c r="I46" s="42"/>
      <x:c r="J46" s="42"/>
      <x:c r="K46" s="42" t="n">
        <x:f>F46-E46</x:f>
        <x:v>6</x:v>
      </x:c>
      <x:c r="L46" s="42" t="n">
        <x:f>G46-F46</x:f>
        <x:v>12</x:v>
      </x:c>
      <x:c r="M46" s="42" t="n">
        <x:f>H46-G46</x:f>
        <x:v>20</x:v>
      </x:c>
      <x:c r="N46" s="42"/>
      <x:c r="O46" s="42"/>
      <x:c r="P46" s="43" t="n">
        <x:f>IFERROR(H46/E46-1,0)</x:f>
        <x:v>3.166666666666667</x:v>
      </x:c>
      <x:c r="Q46" s="20" t="str"/>
    </x:row>
    <x:row r="47" ht="39" customHeight="1">
      <x:c r="A47" s="20" t="str">
        <x:v>玄垒</x:v>
      </x:c>
      <x:c r="B47" s="20" t="str">
        <x:v>R1｜背城</x:v>
      </x:c>
      <x:c r="C47" s="20" t="str">
        <x:v>城压饱和后终结伤害</x:v>
      </x:c>
      <x:c r="D47" s="20" t="str">
        <x:v>点</x:v>
      </x:c>
      <x:c r="E47" s="42" t="n">
        <x:f>('玄垒技能'!$E$78+'玄垒技能'!$E$79/'检算基准'!$B$10*'检算基准'!$B$5)+'检算基准'!$B$7*'玄垒技能'!$E$76/'检算基准'!$B$10*'玄垒技能'!$E$80/'检算基准'!$B$10</x:f>
        <x:v>1880</x:v>
      </x:c>
      <x:c r="F47" s="42" t="n">
        <x:f>('玄垒技能'!$F$78+'玄垒技能'!$F$79/'检算基准'!$B$10*'检算基准'!$B$5)+'检算基准'!$B$7*'玄垒技能'!$F$76/'检算基准'!$B$10*'玄垒技能'!$F$80/'检算基准'!$B$10</x:f>
        <x:v>2225</x:v>
      </x:c>
      <x:c r="G47" s="46" t="n">
        <x:f>('玄垒技能'!$G$78+'玄垒技能'!$G$79/'检算基准'!$B$10*'检算基准'!$B$5)+'检算基准'!$B$7*'玄垒技能'!$G$76/'检算基准'!$B$10*'玄垒技能'!$G$80/'检算基准'!$B$10</x:f>
        <x:v>2960</x:v>
      </x:c>
      <x:c r="H47" s="46" t="n">
        <x:f>('玄垒技能'!$H$78+'玄垒技能'!$H$79/'检算基准'!$B$10*'检算基准'!$B$5)+'检算基准'!$B$7*'玄垒技能'!$H$76/'检算基准'!$B$10*'玄垒技能'!$H$80/'检算基准'!$B$10</x:f>
        <x:v>4120</x:v>
      </x:c>
      <x:c r="I47" s="42"/>
      <x:c r="J47" s="42"/>
      <x:c r="K47" s="42" t="n">
        <x:f>F47-E47</x:f>
        <x:v>345</x:v>
      </x:c>
      <x:c r="L47" s="42" t="n">
        <x:f>G47-F47</x:f>
        <x:v>735</x:v>
      </x:c>
      <x:c r="M47" s="42" t="n">
        <x:f>H47-G47</x:f>
        <x:v>1160</x:v>
      </x:c>
      <x:c r="N47" s="42"/>
      <x:c r="O47" s="42"/>
      <x:c r="P47" s="43" t="n">
        <x:f>IFERROR(H47/E47-1,0)</x:f>
        <x:v>1.1914893617021276</x:v>
      </x:c>
      <x:c r="Q47" s="20" t="str">
        <x:v>理论满压，不代表稳定可达伤害。</x:v>
      </x:c>
    </x:row>
    <x:row r="48" ht="39" customHeight="1">
      <x:c r="A48" s="20" t="str">
        <x:v>玄垒</x:v>
      </x:c>
      <x:c r="B48" s="20" t="str">
        <x:v>R2｜三叩天关</x:v>
      </x:c>
      <x:c r="C48" s="20" t="str">
        <x:v>全部冲锋撞墙及终结全中</x:v>
      </x:c>
      <x:c r="D48" s="20" t="str">
        <x:v>点</x:v>
      </x:c>
      <x:c r="E48" s="42" t="n">
        <x:f>'玄垒技能'!$E$85*(('玄垒技能'!$E$90+'玄垒技能'!$E$91/'检算基准'!$B$10*'检算基准'!$B$5)+'检算基准'!$B$7*'玄垒技能'!$E$92/'检算基准'!$B$10+('玄垒技能'!$E$94+'玄垒技能'!$E$95/'检算基准'!$B$10*'检算基准'!$B$5))+('玄垒技能'!$E$98+'玄垒技能'!$E$99/'检算基准'!$B$10*'检算基准'!$B$5)+'检算基准'!$B$7*'玄垒技能'!$E$100/'检算基准'!$B$10</x:f>
        <x:v>1485</x:v>
      </x:c>
      <x:c r="F48" s="42" t="n">
        <x:f>'玄垒技能'!$F$85*(('玄垒技能'!$F$90+'玄垒技能'!$F$91/'检算基准'!$B$10*'检算基准'!$B$5)+'检算基准'!$B$7*'玄垒技能'!$F$92/'检算基准'!$B$10+('玄垒技能'!$F$94+'玄垒技能'!$F$95/'检算基准'!$B$10*'检算基准'!$B$5))+('玄垒技能'!$F$98+'玄垒技能'!$F$99/'检算基准'!$B$10*'检算基准'!$B$5)+'检算基准'!$B$7*'玄垒技能'!$F$100/'检算基准'!$B$10</x:f>
        <x:v>1887.5</x:v>
      </x:c>
      <x:c r="G48" s="46" t="n">
        <x:f>'玄垒技能'!$G$85*(('玄垒技能'!$G$90+'玄垒技能'!$G$91/'检算基准'!$B$10*'检算基准'!$B$5)+'检算基准'!$B$7*'玄垒技能'!$G$92/'检算基准'!$B$10+('玄垒技能'!$G$94+'玄垒技能'!$G$95/'检算基准'!$B$10*'检算基准'!$B$5))+('玄垒技能'!$G$98+'玄垒技能'!$G$99/'检算基准'!$B$10*'检算基准'!$B$5)+'检算基准'!$B$7*'玄垒技能'!$G$100/'检算基准'!$B$10</x:f>
        <x:v>2829</x:v>
      </x:c>
      <x:c r="H48" s="46" t="n">
        <x:f>'玄垒技能'!$H$85*(('玄垒技能'!$H$90+'玄垒技能'!$H$91/'检算基准'!$B$10*'检算基准'!$B$5)+'检算基准'!$B$7*'玄垒技能'!$H$92/'检算基准'!$B$10+('玄垒技能'!$H$94+'玄垒技能'!$H$95/'检算基准'!$B$10*'检算基准'!$B$5))+('玄垒技能'!$H$98+'玄垒技能'!$H$99/'检算基准'!$B$10*'检算基准'!$B$5)+'检算基准'!$B$7*'玄垒技能'!$H$100/'检算基准'!$B$10</x:f>
        <x:v>4390</x:v>
      </x:c>
      <x:c r="I48" s="42"/>
      <x:c r="J48" s="42"/>
      <x:c r="K48" s="42" t="n">
        <x:f>F48-E48</x:f>
        <x:v>402.5</x:v>
      </x:c>
      <x:c r="L48" s="42" t="n">
        <x:f>G48-F48</x:f>
        <x:v>941.5</x:v>
      </x:c>
      <x:c r="M48" s="42" t="n">
        <x:f>H48-G48</x:f>
        <x:v>1561</x:v>
      </x:c>
      <x:c r="N48" s="42"/>
      <x:c r="O48" s="42"/>
      <x:c r="P48" s="43" t="n">
        <x:f>IFERROR(H48/E48-1,0)</x:f>
        <x:v>1.9562289562289563</x:v>
      </x:c>
      <x:c r="Q48" s="20" t="str"/>
    </x:row>
    <x:row r="49" ht="39" customHeight="1">
      <x:c r="A49" s="20" t="str">
        <x:v>赫兹</x:v>
      </x:c>
      <x:c r="B49" s="20" t="str">
        <x:v>Q1｜全列齐射</x:v>
      </x:c>
      <x:c r="C49" s="20" t="str">
        <x:v>基础满编齐射伤害</x:v>
      </x:c>
      <x:c r="D49" s="20" t="str">
        <x:v>点</x:v>
      </x:c>
      <x:c r="E49" s="42" t="n">
        <x:f>('赫兹技能'!$E$5+'赫兹技能'!$E$6/'检算基准'!$B$10*'检算基准'!$B$5)+'基础与资源'!$F$44*('赫兹技能'!$E$7+'赫兹技能'!$E$8/'检算基准'!$B$10*'检算基准'!$B$5)</x:f>
        <x:v>292</x:v>
      </x:c>
      <x:c r="F49" s="42" t="n">
        <x:f>('赫兹技能'!$F$5+'赫兹技能'!$F$6/'检算基准'!$B$10*'检算基准'!$B$5)+'基础与资源'!$F$44*('赫兹技能'!$F$7+'赫兹技能'!$F$8/'检算基准'!$B$10*'检算基准'!$B$5)</x:f>
        <x:v>330</x:v>
      </x:c>
      <x:c r="G49" s="42" t="n">
        <x:f>('赫兹技能'!$G$5+'赫兹技能'!$G$6/'检算基准'!$B$10*'检算基准'!$B$5)+'基础与资源'!$F$44*('赫兹技能'!$G$7+'赫兹技能'!$G$8/'检算基准'!$B$10*'检算基准'!$B$5)</x:f>
        <x:v>391</x:v>
      </x:c>
      <x:c r="H49" s="46" t="n">
        <x:f>('赫兹技能'!$H$5+'赫兹技能'!$H$6/'检算基准'!$B$10*'检算基准'!$B$5)+'基础与资源'!$F$44*('赫兹技能'!$H$7+'赫兹技能'!$H$8/'检算基准'!$B$10*'检算基准'!$B$5)</x:f>
        <x:v>490</x:v>
      </x:c>
      <x:c r="I49" s="46" t="n">
        <x:f>('赫兹技能'!$I$5+'赫兹技能'!$I$6/'检算基准'!$B$10*'检算基准'!$B$5)+'基础与资源'!$F$44*('赫兹技能'!$I$7+'赫兹技能'!$I$8/'检算基准'!$B$10*'检算基准'!$B$5)</x:f>
        <x:v>618</x:v>
      </x:c>
      <x:c r="J49" s="46" t="n">
        <x:f>('赫兹技能'!$J$5+'赫兹技能'!$J$6/'检算基准'!$B$10*'检算基准'!$B$5)+'基础与资源'!$F$44*('赫兹技能'!$J$7+'赫兹技能'!$J$8/'检算基准'!$B$10*'检算基准'!$B$5)</x:f>
        <x:v>781</x:v>
      </x:c>
      <x:c r="K49" s="42" t="n">
        <x:f>F49-E49</x:f>
        <x:v>38</x:v>
      </x:c>
      <x:c r="L49" s="42" t="n">
        <x:f>G49-F49</x:f>
        <x:v>61</x:v>
      </x:c>
      <x:c r="M49" s="42" t="n">
        <x:f>H49-G49</x:f>
        <x:v>99</x:v>
      </x:c>
      <x:c r="N49" s="42" t="n">
        <x:f>I49-H49</x:f>
        <x:v>128</x:v>
      </x:c>
      <x:c r="O49" s="42" t="n">
        <x:f>J49-I49</x:f>
        <x:v>163</x:v>
      </x:c>
      <x:c r="P49" s="43" t="n">
        <x:f>IFERROR(J49/E49-1,0)</x:f>
        <x:v>1.6746575342465753</x:v>
      </x:c>
      <x:c r="Q49" s="20" t="str"/>
    </x:row>
    <x:row r="50" ht="39" customHeight="1">
      <x:c r="A50" s="20" t="str">
        <x:v>赫兹</x:v>
      </x:c>
      <x:c r="B50" s="20" t="str">
        <x:v>Q2｜破阵列车</x:v>
      </x:c>
      <x:c r="C50" s="20" t="str">
        <x:v>基础满编对Boss全中</x:v>
      </x:c>
      <x:c r="D50" s="20" t="str">
        <x:v>点</x:v>
      </x:c>
      <x:c r="E50" s="42" t="n">
        <x:f>('赫兹技能'!$E$17+'赫兹技能'!$E$18/'检算基准'!$B$10*'检算基准'!$B$5)+MIN('基础与资源'!$F$44,'赫兹技能'!$E$22-1)*('赫兹技能'!$E$19+'赫兹技能'!$E$20/'检算基准'!$B$10*'检算基准'!$B$5)</x:f>
        <x:v>284</x:v>
      </x:c>
      <x:c r="F50" s="42" t="n">
        <x:f>('赫兹技能'!$F$17+'赫兹技能'!$F$18/'检算基准'!$B$10*'检算基准'!$B$5)+MIN('基础与资源'!$F$44,'赫兹技能'!$F$22-1)*('赫兹技能'!$F$19+'赫兹技能'!$F$20/'检算基准'!$B$10*'检算基准'!$B$5)</x:f>
        <x:v>320</x:v>
      </x:c>
      <x:c r="G50" s="42" t="n">
        <x:f>('赫兹技能'!$G$17+'赫兹技能'!$G$18/'检算基准'!$B$10*'检算基准'!$B$5)+MIN('基础与资源'!$F$44,'赫兹技能'!$G$22-1)*('赫兹技能'!$G$19+'赫兹技能'!$G$20/'检算基准'!$B$10*'检算基准'!$B$5)</x:f>
        <x:v>379</x:v>
      </x:c>
      <x:c r="H50" s="46" t="n">
        <x:f>('赫兹技能'!$H$17+'赫兹技能'!$H$18/'检算基准'!$B$10*'检算基准'!$B$5)+MIN('基础与资源'!$F$44,'赫兹技能'!$H$22-1)*('赫兹技能'!$H$19+'赫兹技能'!$H$20/'检算基准'!$B$10*'检算基准'!$B$5)</x:f>
        <x:v>474</x:v>
      </x:c>
      <x:c r="I50" s="46" t="n">
        <x:f>('赫兹技能'!$I$17+'赫兹技能'!$I$18/'检算基准'!$B$10*'检算基准'!$B$5)+MIN('基础与资源'!$F$44,'赫兹技能'!$I$22-1)*('赫兹技能'!$I$19+'赫兹技能'!$I$20/'检算基准'!$B$10*'检算基准'!$B$5)</x:f>
        <x:v>603</x:v>
      </x:c>
      <x:c r="J50" s="46" t="n">
        <x:f>('赫兹技能'!$J$17+'赫兹技能'!$J$18/'检算基准'!$B$10*'检算基准'!$B$5)+MIN('基础与资源'!$F$44,'赫兹技能'!$J$22-1)*('赫兹技能'!$J$19+'赫兹技能'!$J$20/'检算基准'!$B$10*'检算基准'!$B$5)</x:f>
        <x:v>759</x:v>
      </x:c>
      <x:c r="K50" s="42" t="n">
        <x:f>F50-E50</x:f>
        <x:v>36</x:v>
      </x:c>
      <x:c r="L50" s="42" t="n">
        <x:f>G50-F50</x:f>
        <x:v>59</x:v>
      </x:c>
      <x:c r="M50" s="42" t="n">
        <x:f>H50-G50</x:f>
        <x:v>95</x:v>
      </x:c>
      <x:c r="N50" s="42" t="n">
        <x:f>I50-H50</x:f>
        <x:v>129</x:v>
      </x:c>
      <x:c r="O50" s="42" t="n">
        <x:f>J50-I50</x:f>
        <x:v>156</x:v>
      </x:c>
      <x:c r="P50" s="43" t="n">
        <x:f>IFERROR(J50/E50-1,0)</x:f>
        <x:v>1.6725352112676055</x:v>
      </x:c>
      <x:c r="Q50" s="20" t="str"/>
    </x:row>
    <x:row r="51" ht="39" customHeight="1">
      <x:c r="A51" s="20" t="str">
        <x:v>赫兹</x:v>
      </x:c>
      <x:c r="B51" s="20" t="str">
        <x:v>Q3｜甩尾</x:v>
      </x:c>
      <x:c r="C51" s="20" t="str">
        <x:v>基础满编甩尾伤害</x:v>
      </x:c>
      <x:c r="D51" s="20" t="str">
        <x:v>点</x:v>
      </x:c>
      <x:c r="E51" s="42" t="n">
        <x:f>('赫兹技能'!$E$28+'赫兹技能'!$E$29/'检算基准'!$B$10*'检算基准'!$B$5)+('基础与资源'!$F$44-'基础与资源'!$F$43)*('赫兹技能'!$E$30+'赫兹技能'!$E$31/'检算基准'!$B$10*'检算基准'!$B$5)</x:f>
        <x:v>205</x:v>
      </x:c>
      <x:c r="F51" s="42" t="n">
        <x:f>('赫兹技能'!$F$28+'赫兹技能'!$F$29/'检算基准'!$B$10*'检算基准'!$B$5)+('基础与资源'!$F$44-'基础与资源'!$F$43)*('赫兹技能'!$F$30+'赫兹技能'!$F$31/'检算基准'!$B$10*'检算基准'!$B$5)</x:f>
        <x:v>236.60000000000002</x:v>
      </x:c>
      <x:c r="G51" s="42" t="n">
        <x:f>('赫兹技能'!$G$28+'赫兹技能'!$G$29/'检算基准'!$B$10*'检算基准'!$B$5)+('基础与资源'!$F$44-'基础与资源'!$F$43)*('赫兹技能'!$G$30+'赫兹技能'!$G$31/'检算基准'!$B$10*'检算基准'!$B$5)</x:f>
        <x:v>288</x:v>
      </x:c>
      <x:c r="H51" s="46" t="n">
        <x:f>('赫兹技能'!$H$28+'赫兹技能'!$H$29/'检算基准'!$B$10*'检算基准'!$B$5)+('基础与资源'!$F$44-'基础与资源'!$F$43)*('赫兹技能'!$H$30+'赫兹技能'!$H$31/'检算基准'!$B$10*'检算基准'!$B$5)</x:f>
        <x:v>367</x:v>
      </x:c>
      <x:c r="I51" s="46" t="n">
        <x:f>('赫兹技能'!$I$28+'赫兹技能'!$I$29/'检算基准'!$B$10*'检算基准'!$B$5)+('基础与资源'!$F$44-'基础与资源'!$F$43)*('赫兹技能'!$I$30+'赫兹技能'!$I$31/'检算基准'!$B$10*'检算基准'!$B$5)</x:f>
        <x:v>479.4</x:v>
      </x:c>
      <x:c r="J51" s="46" t="n">
        <x:f>('赫兹技能'!$J$28+'赫兹技能'!$J$29/'检算基准'!$B$10*'检算基准'!$B$5)+('基础与资源'!$F$44-'基础与资源'!$F$43)*('赫兹技能'!$J$30+'赫兹技能'!$J$31/'检算基准'!$B$10*'检算基准'!$B$5)</x:f>
        <x:v>612</x:v>
      </x:c>
      <x:c r="K51" s="42" t="n">
        <x:f>F51-E51</x:f>
        <x:v>31.600000000000023</x:v>
      </x:c>
      <x:c r="L51" s="42" t="n">
        <x:f>G51-F51</x:f>
        <x:v>51.39999999999998</x:v>
      </x:c>
      <x:c r="M51" s="42" t="n">
        <x:f>H51-G51</x:f>
        <x:v>79</x:v>
      </x:c>
      <x:c r="N51" s="42" t="n">
        <x:f>I51-H51</x:f>
        <x:v>112.39999999999998</x:v>
      </x:c>
      <x:c r="O51" s="42" t="n">
        <x:f>J51-I51</x:f>
        <x:v>132.60000000000002</x:v>
      </x:c>
      <x:c r="P51" s="43" t="n">
        <x:f>IFERROR(J51/E51-1,0)</x:f>
        <x:v>1.9853658536585366</x:v>
      </x:c>
      <x:c r="Q51" s="20" t="str"/>
    </x:row>
    <x:row r="52" ht="39" customHeight="1">
      <x:c r="A52" s="20" t="str">
        <x:v>赫兹</x:v>
      </x:c>
      <x:c r="B52" s="20" t="str">
        <x:v>E1｜断尾</x:v>
      </x:c>
      <x:c r="C52" s="20" t="str">
        <x:v>单节断尾爆炸伤害</x:v>
      </x:c>
      <x:c r="D52" s="20" t="str">
        <x:v>点</x:v>
      </x:c>
      <x:c r="E52" s="42" t="n">
        <x:f>('赫兹技能'!$E$42+'赫兹技能'!$E$43/'检算基准'!$B$10*'检算基准'!$B$5)</x:f>
        <x:v>160</x:v>
      </x:c>
      <x:c r="F52" s="42" t="n">
        <x:f>('赫兹技能'!$F$42+'赫兹技能'!$F$43/'检算基准'!$B$10*'检算基准'!$B$5)</x:f>
        <x:v>188</x:v>
      </x:c>
      <x:c r="G52" s="42" t="n">
        <x:f>('赫兹技能'!$G$42+'赫兹技能'!$G$43/'检算基准'!$B$10*'检算基准'!$B$5)</x:f>
        <x:v>229</x:v>
      </x:c>
      <x:c r="H52" s="46" t="n">
        <x:f>('赫兹技能'!$H$42+'赫兹技能'!$H$43/'检算基准'!$B$10*'检算基准'!$B$5)</x:f>
        <x:v>298</x:v>
      </x:c>
      <x:c r="I52" s="46" t="n">
        <x:f>('赫兹技能'!$I$42+'赫兹技能'!$I$43/'检算基准'!$B$10*'检算基准'!$B$5)</x:f>
        <x:v>391</x:v>
      </x:c>
      <x:c r="J52" s="46" t="n">
        <x:f>('赫兹技能'!$J$42+'赫兹技能'!$J$43/'检算基准'!$B$10*'检算基准'!$B$5)</x:f>
        <x:v>505</x:v>
      </x:c>
      <x:c r="K52" s="42" t="n">
        <x:f>F52-E52</x:f>
        <x:v>28</x:v>
      </x:c>
      <x:c r="L52" s="42" t="n">
        <x:f>G52-F52</x:f>
        <x:v>41</x:v>
      </x:c>
      <x:c r="M52" s="42" t="n">
        <x:f>H52-G52</x:f>
        <x:v>69</x:v>
      </x:c>
      <x:c r="N52" s="42" t="n">
        <x:f>I52-H52</x:f>
        <x:v>93</x:v>
      </x:c>
      <x:c r="O52" s="42" t="n">
        <x:f>J52-I52</x:f>
        <x:v>114</x:v>
      </x:c>
      <x:c r="P52" s="43" t="n">
        <x:f>IFERROR(J52/E52-1,0)</x:f>
        <x:v>2.15625</x:v>
      </x:c>
      <x:c r="Q52" s="20" t="str"/>
    </x:row>
    <x:row r="53" ht="39" customHeight="1">
      <x:c r="A53" s="20" t="str">
        <x:v>赫兹</x:v>
      </x:c>
      <x:c r="B53" s="20" t="str">
        <x:v>E2｜紧急制动</x:v>
      </x:c>
      <x:c r="C53" s="20" t="str">
        <x:v>压力转化封顶冲击伤害</x:v>
      </x:c>
      <x:c r="D53" s="20" t="str">
        <x:v>点</x:v>
      </x:c>
      <x:c r="E53" s="42" t="n">
        <x:f>('赫兹技能'!$E$52+'赫兹技能'!$E$53/'检算基准'!$B$10*'检算基准'!$B$5)+'检算基准'!$B$7*'赫兹技能'!$E$55/'检算基准'!$B$10</x:f>
        <x:v>405</x:v>
      </x:c>
      <x:c r="F53" s="42" t="n">
        <x:f>('赫兹技能'!$F$52+'赫兹技能'!$F$53/'检算基准'!$B$10*'检算基准'!$B$5)+'检算基准'!$B$7*'赫兹技能'!$F$55/'检算基准'!$B$10</x:f>
        <x:v>455</x:v>
      </x:c>
      <x:c r="G53" s="42" t="n">
        <x:f>('赫兹技能'!$G$52+'赫兹技能'!$G$53/'检算基准'!$B$10*'检算基准'!$B$5)+'检算基准'!$B$7*'赫兹技能'!$G$55/'检算基准'!$B$10</x:f>
        <x:v>516</x:v>
      </x:c>
      <x:c r="H53" s="46" t="n">
        <x:f>('赫兹技能'!$H$52+'赫兹技能'!$H$53/'检算基准'!$B$10*'检算基准'!$B$5)+'检算基准'!$B$7*'赫兹技能'!$H$55/'检算基准'!$B$10</x:f>
        <x:v>627</x:v>
      </x:c>
      <x:c r="I53" s="46" t="n">
        <x:f>('赫兹技能'!$I$52+'赫兹技能'!$I$53/'检算基准'!$B$10*'检算基准'!$B$5)+'检算基准'!$B$7*'赫兹技能'!$I$55/'检算基准'!$B$10</x:f>
        <x:v>771</x:v>
      </x:c>
      <x:c r="J53" s="46" t="n">
        <x:f>('赫兹技能'!$J$52+'赫兹技能'!$J$53/'检算基准'!$B$10*'检算基准'!$B$5)+'检算基准'!$B$7*'赫兹技能'!$J$55/'检算基准'!$B$10</x:f>
        <x:v>960</x:v>
      </x:c>
      <x:c r="K53" s="42" t="n">
        <x:f>F53-E53</x:f>
        <x:v>50</x:v>
      </x:c>
      <x:c r="L53" s="42" t="n">
        <x:f>G53-F53</x:f>
        <x:v>61</x:v>
      </x:c>
      <x:c r="M53" s="42" t="n">
        <x:f>H53-G53</x:f>
        <x:v>111</x:v>
      </x:c>
      <x:c r="N53" s="42" t="n">
        <x:f>I53-H53</x:f>
        <x:v>144</x:v>
      </x:c>
      <x:c r="O53" s="42" t="n">
        <x:f>J53-I53</x:f>
        <x:v>189</x:v>
      </x:c>
      <x:c r="P53" s="43" t="n">
        <x:f>IFERROR(J53/E53-1,0)</x:f>
        <x:v>1.3703703703703702</x:v>
      </x:c>
      <x:c r="Q53" s="20" t="str">
        <x:v>理论满压，不代表每次都能达到。</x:v>
      </x:c>
    </x:row>
    <x:row r="54" ht="39" customHeight="1">
      <x:c r="A54" s="20" t="str">
        <x:v>赫兹</x:v>
      </x:c>
      <x:c r="B54" s="20" t="str">
        <x:v>E3｜战地检修</x:v>
      </x:c>
      <x:c r="C54" s="20" t="str">
        <x:v>满编完整检修恢复</x:v>
      </x:c>
      <x:c r="D54" s="20" t="str">
        <x:v>点</x:v>
      </x:c>
      <x:c r="E54" s="42" t="n">
        <x:f>'检算基准'!$B$7*'赫兹技能'!$E$58/'检算基准'!$B$10</x:f>
        <x:v>270</x:v>
      </x:c>
      <x:c r="F54" s="42" t="n">
        <x:f>'检算基准'!$B$7*'赫兹技能'!$F$58/'检算基准'!$B$10</x:f>
        <x:v>300</x:v>
      </x:c>
      <x:c r="G54" s="42" t="n">
        <x:f>'检算基准'!$B$7*'赫兹技能'!$G$58/'检算基准'!$B$10</x:f>
        <x:v>345</x:v>
      </x:c>
      <x:c r="H54" s="46" t="n">
        <x:f>'检算基准'!$B$7*'赫兹技能'!$H$58/'检算基准'!$B$10</x:f>
        <x:v>420</x:v>
      </x:c>
      <x:c r="I54" s="46" t="n">
        <x:f>'检算基准'!$B$7*'赫兹技能'!$I$58/'检算基准'!$B$10</x:f>
        <x:v>540</x:v>
      </x:c>
      <x:c r="J54" s="46" t="n">
        <x:f>'检算基准'!$B$7*'赫兹技能'!$J$58/'检算基准'!$B$10</x:f>
        <x:v>690</x:v>
      </x:c>
      <x:c r="K54" s="42" t="n">
        <x:f>F54-E54</x:f>
        <x:v>30</x:v>
      </x:c>
      <x:c r="L54" s="42" t="n">
        <x:f>G54-F54</x:f>
        <x:v>45</x:v>
      </x:c>
      <x:c r="M54" s="42" t="n">
        <x:f>H54-G54</x:f>
        <x:v>75</x:v>
      </x:c>
      <x:c r="N54" s="42" t="n">
        <x:f>I54-H54</x:f>
        <x:v>120</x:v>
      </x:c>
      <x:c r="O54" s="42" t="n">
        <x:f>J54-I54</x:f>
        <x:v>150</x:v>
      </x:c>
      <x:c r="P54" s="43" t="n">
        <x:f>IFERROR(J54/E54-1,0)</x:f>
        <x:v>1.5555555555555554</x:v>
      </x:c>
      <x:c r="Q54" s="20" t="str">
        <x:v>不含基础生命恢复提高。</x:v>
      </x:c>
    </x:row>
    <x:row r="55" ht="39" customHeight="1">
      <x:c r="A55" s="20" t="str">
        <x:v>赫兹</x:v>
      </x:c>
      <x:c r="B55" s="20" t="str">
        <x:v>P1｜重载</x:v>
      </x:c>
      <x:c r="C55" s="20" t="str">
        <x:v>每个计数单位永久生命</x:v>
      </x:c>
      <x:c r="D55" s="20" t="str">
        <x:v>点</x:v>
      </x:c>
      <x:c r="E55" s="42" t="n">
        <x:f>'赫兹技能'!$E$62</x:f>
        <x:v>3</x:v>
      </x:c>
      <x:c r="F55" s="42" t="n">
        <x:f>'赫兹技能'!$F$62</x:f>
        <x:v>5</x:v>
      </x:c>
      <x:c r="G55" s="46" t="n">
        <x:f>'赫兹技能'!$G$62</x:f>
        <x:v>10</x:v>
      </x:c>
      <x:c r="H55" s="46" t="n">
        <x:f>'赫兹技能'!$H$62</x:f>
        <x:v>20</x:v>
      </x:c>
      <x:c r="I55" s="42"/>
      <x:c r="J55" s="42"/>
      <x:c r="K55" s="42" t="n">
        <x:f>F55-E55</x:f>
        <x:v>2</x:v>
      </x:c>
      <x:c r="L55" s="42" t="n">
        <x:f>G55-F55</x:f>
        <x:v>5</x:v>
      </x:c>
      <x:c r="M55" s="42" t="n">
        <x:f>H55-G55</x:f>
        <x:v>10</x:v>
      </x:c>
      <x:c r="N55" s="42"/>
      <x:c r="O55" s="42"/>
      <x:c r="P55" s="43" t="n">
        <x:f>IFERROR(H55/E55-1,0)</x:f>
        <x:v>5.666666666666667</x:v>
      </x:c>
      <x:c r="Q55" s="20" t="str"/>
    </x:row>
    <x:row r="56" ht="39" customHeight="1">
      <x:c r="A56" s="20" t="str">
        <x:v>赫兹</x:v>
      </x:c>
      <x:c r="B56" s="20" t="str">
        <x:v>P2｜高速干线</x:v>
      </x:c>
      <x:c r="C56" s="20" t="str">
        <x:v>高速攻击速度提高</x:v>
      </x:c>
      <x:c r="D56" s="20" t="str">
        <x:v>%</x:v>
      </x:c>
      <x:c r="E56" s="42" t="n">
        <x:f>'赫兹技能'!$E$64</x:f>
        <x:v>12</x:v>
      </x:c>
      <x:c r="F56" s="42" t="n">
        <x:f>'赫兹技能'!$F$64</x:f>
        <x:v>18</x:v>
      </x:c>
      <x:c r="G56" s="46" t="n">
        <x:f>'赫兹技能'!$G$64</x:f>
        <x:v>30</x:v>
      </x:c>
      <x:c r="H56" s="46" t="n">
        <x:f>'赫兹技能'!$H$64</x:f>
        <x:v>50</x:v>
      </x:c>
      <x:c r="I56" s="42"/>
      <x:c r="J56" s="42"/>
      <x:c r="K56" s="42" t="n">
        <x:f>F56-E56</x:f>
        <x:v>6</x:v>
      </x:c>
      <x:c r="L56" s="42" t="n">
        <x:f>G56-F56</x:f>
        <x:v>12</x:v>
      </x:c>
      <x:c r="M56" s="42" t="n">
        <x:f>H56-G56</x:f>
        <x:v>20</x:v>
      </x:c>
      <x:c r="N56" s="42"/>
      <x:c r="O56" s="42"/>
      <x:c r="P56" s="43" t="n">
        <x:f>IFERROR(H56/E56-1,0)</x:f>
        <x:v>3.166666666666667</x:v>
      </x:c>
      <x:c r="Q56" s="20" t="str"/>
    </x:row>
    <x:row r="57" ht="39" customHeight="1">
      <x:c r="A57" s="20" t="str">
        <x:v>赫兹</x:v>
      </x:c>
      <x:c r="B57" s="20" t="str">
        <x:v>P3｜锅炉过载</x:v>
      </x:c>
      <x:c r="C57" s="20" t="str">
        <x:v>过热攻击力提高</x:v>
      </x:c>
      <x:c r="D57" s="20" t="str">
        <x:v>%</x:v>
      </x:c>
      <x:c r="E57" s="42" t="n">
        <x:f>'赫兹技能'!$E$67</x:f>
        <x:v>12</x:v>
      </x:c>
      <x:c r="F57" s="42" t="n">
        <x:f>'赫兹技能'!$F$67</x:f>
        <x:v>18</x:v>
      </x:c>
      <x:c r="G57" s="46" t="n">
        <x:f>'赫兹技能'!$G$67</x:f>
        <x:v>30</x:v>
      </x:c>
      <x:c r="H57" s="46" t="n">
        <x:f>'赫兹技能'!$H$67</x:f>
        <x:v>50</x:v>
      </x:c>
      <x:c r="I57" s="42"/>
      <x:c r="J57" s="42"/>
      <x:c r="K57" s="42" t="n">
        <x:f>F57-E57</x:f>
        <x:v>6</x:v>
      </x:c>
      <x:c r="L57" s="42" t="n">
        <x:f>G57-F57</x:f>
        <x:v>12</x:v>
      </x:c>
      <x:c r="M57" s="42" t="n">
        <x:f>H57-G57</x:f>
        <x:v>20</x:v>
      </x:c>
      <x:c r="N57" s="42"/>
      <x:c r="O57" s="42"/>
      <x:c r="P57" s="43" t="n">
        <x:f>IFERROR(H57/E57-1,0)</x:f>
        <x:v>3.166666666666667</x:v>
      </x:c>
      <x:c r="Q57" s="20" t="str"/>
    </x:row>
    <x:row r="58" ht="39" customHeight="1">
      <x:c r="A58" s="20" t="str">
        <x:v>赫兹</x:v>
      </x:c>
      <x:c r="B58" s="20" t="str">
        <x:v>R1｜战争列车</x:v>
      </x:c>
      <x:c r="C58" s="20" t="str">
        <x:v>全车火炮基础DPS</x:v>
      </x:c>
      <x:c r="D58" s="20" t="str">
        <x:v>点/秒</x:v>
      </x:c>
      <x:c r="E58" s="42" t="n">
        <x:f>'赫兹技能'!$E$71*('赫兹技能'!$E$75+'赫兹技能'!$E$76/'检算基准'!$B$10*'检算基准'!$B$5)/'赫兹技能'!$E$74</x:f>
        <x:v>264</x:v>
      </x:c>
      <x:c r="F58" s="42" t="n">
        <x:f>'赫兹技能'!$F$71*('赫兹技能'!$F$75+'赫兹技能'!$F$76/'检算基准'!$B$10*'检算基准'!$B$5)/'赫兹技能'!$F$74</x:f>
        <x:v>336</x:v>
      </x:c>
      <x:c r="G58" s="46" t="n">
        <x:f>'赫兹技能'!$G$71*('赫兹技能'!$G$75+'赫兹技能'!$G$76/'检算基准'!$B$10*'检算基准'!$B$5)/'赫兹技能'!$G$74</x:f>
        <x:v>516</x:v>
      </x:c>
      <x:c r="H58" s="46" t="n">
        <x:f>'赫兹技能'!$H$71*('赫兹技能'!$H$75+'赫兹技能'!$H$76/'检算基准'!$B$10*'检算基准'!$B$5)/'赫兹技能'!$H$74</x:f>
        <x:v>840</x:v>
      </x:c>
      <x:c r="I58" s="42"/>
      <x:c r="J58" s="42"/>
      <x:c r="K58" s="42" t="n">
        <x:f>F58-E58</x:f>
        <x:v>72</x:v>
      </x:c>
      <x:c r="L58" s="42" t="n">
        <x:f>G58-F58</x:f>
        <x:v>180</x:v>
      </x:c>
      <x:c r="M58" s="42" t="n">
        <x:f>H58-G58</x:f>
        <x:v>324</x:v>
      </x:c>
      <x:c r="N58" s="42"/>
      <x:c r="O58" s="42"/>
      <x:c r="P58" s="43" t="n">
        <x:f>IFERROR(H58/E58-1,0)</x:f>
        <x:v>2.1818181818181817</x:v>
      </x:c>
      <x:c r="Q58" s="20" t="str">
        <x:v>不含玩家普攻、Q与基础辅助炮。</x:v>
      </x:c>
    </x:row>
    <x:row r="59" ht="39" customHeight="1">
      <x:c r="A59" s="20" t="str">
        <x:v>赫兹</x:v>
      </x:c>
      <x:c r="B59" s="20" t="str">
        <x:v>R2｜末日终点站</x:v>
      </x:c>
      <x:c r="C59" s="20" t="str">
        <x:v>全部列车及终点号全中</x:v>
      </x:c>
      <x:c r="D59" s="20" t="str">
        <x:v>点</x:v>
      </x:c>
      <x:c r="E59" s="42" t="n">
        <x:f>'赫兹技能'!$E$81*(('赫兹技能'!$E$86+'赫兹技能'!$E$87/'检算基准'!$B$10*'检算基准'!$B$5)+'检算基准'!$B$8*'赫兹技能'!$E$88/'检算基准'!$B$10)+('赫兹技能'!$E$92+'赫兹技能'!$E$93/'检算基准'!$B$10*'检算基准'!$B$5)+('检算基准'!$B$8*(1-'检算基准'!$B$9/'检算基准'!$B$10))*'赫兹技能'!$E$94/'检算基准'!$B$10</x:f>
        <x:v>4130</x:v>
      </x:c>
      <x:c r="F59" s="42" t="n">
        <x:f>'赫兹技能'!$F$81*(('赫兹技能'!$F$86+'赫兹技能'!$F$87/'检算基准'!$B$10*'检算基准'!$B$5)+'检算基准'!$B$8*'赫兹技能'!$F$88/'检算基准'!$B$10)+('赫兹技能'!$F$92+'赫兹技能'!$F$93/'检算基准'!$B$10*'检算基准'!$B$5)+('检算基准'!$B$8*(1-'检算基准'!$B$9/'检算基准'!$B$10))*'赫兹技能'!$F$94/'检算基准'!$B$10</x:f>
        <x:v>4920</x:v>
      </x:c>
      <x:c r="G59" s="46" t="n">
        <x:f>'赫兹技能'!$G$81*(('赫兹技能'!$G$86+'赫兹技能'!$G$87/'检算基准'!$B$10*'检算基准'!$B$5)+'检算基准'!$B$8*'赫兹技能'!$G$88/'检算基准'!$B$10)+('赫兹技能'!$G$92+'赫兹技能'!$G$93/'检算基准'!$B$10*'检算基准'!$B$5)+('检算基准'!$B$8*(1-'检算基准'!$B$9/'检算基准'!$B$10))*'赫兹技能'!$G$94/'检算基准'!$B$10</x:f>
        <x:v>6620</x:v>
      </x:c>
      <x:c r="H59" s="46" t="n">
        <x:f>'赫兹技能'!$H$81*(('赫兹技能'!$H$86+'赫兹技能'!$H$87/'检算基准'!$B$10*'检算基准'!$B$5)+'检算基准'!$B$8*'赫兹技能'!$H$88/'检算基准'!$B$10)+('赫兹技能'!$H$92+'赫兹技能'!$H$93/'检算基准'!$B$10*'检算基准'!$B$5)+('检算基准'!$B$8*(1-'检算基准'!$B$9/'检算基准'!$B$10))*'赫兹技能'!$H$94/'检算基准'!$B$10</x:f>
        <x:v>9350</x:v>
      </x:c>
      <x:c r="I59" s="42"/>
      <x:c r="J59" s="42"/>
      <x:c r="K59" s="42" t="n">
        <x:f>F59-E59</x:f>
        <x:v>790</x:v>
      </x:c>
      <x:c r="L59" s="42" t="n">
        <x:f>G59-F59</x:f>
        <x:v>1700</x:v>
      </x:c>
      <x:c r="M59" s="42" t="n">
        <x:f>H59-G59</x:f>
        <x:v>2730</x:v>
      </x:c>
      <x:c r="N59" s="42"/>
      <x:c r="O59" s="42"/>
      <x:c r="P59" s="43" t="n">
        <x:f>IFERROR(H59/E59-1,0)</x:f>
        <x:v>1.2639225181598062</x:v>
      </x:c>
      <x:c r="Q59" s="20" t="str">
        <x:v>已损失生命使用基准固定值，不模拟逐列减血。</x:v>
      </x:c>
    </x:row>
    <x:row r="60" ht="39" customHeight="1">
      <x:c r="A60" s="20" t="str">
        <x:v>弥罗</x:v>
      </x:c>
      <x:c r="B60" s="20" t="str">
        <x:v>Q1｜鲸吞</x:v>
      </x:c>
      <x:c r="C60" s="20" t="str">
        <x:v>饱食鲸吞对Boss伤害</x:v>
      </x:c>
      <x:c r="D60" s="20" t="str">
        <x:v>点</x:v>
      </x:c>
      <x:c r="E60" s="42" t="n">
        <x:f>('弥罗技能'!$E$9+'弥罗技能'!$E$10/'检算基准'!$B$10*'检算基准'!$B$6)+('检算基准'!$B$8*(1-'检算基准'!$B$9/'检算基准'!$B$10))*'弥罗技能'!$E$12/'检算基准'!$B$10*'弥罗技能'!$E$13/'检算基准'!$B$10</x:f>
        <x:v>428</x:v>
      </x:c>
      <x:c r="F60" s="42" t="n">
        <x:f>('弥罗技能'!$F$9+'弥罗技能'!$F$10/'检算基准'!$B$10*'检算基准'!$B$6)+('检算基准'!$B$8*(1-'检算基准'!$B$9/'检算基准'!$B$10))*'弥罗技能'!$F$12/'检算基准'!$B$10*'弥罗技能'!$F$13/'检算基准'!$B$10</x:f>
        <x:v>480.16</x:v>
      </x:c>
      <x:c r="G60" s="42" t="n">
        <x:f>('弥罗技能'!$G$9+'弥罗技能'!$G$10/'检算基准'!$B$10*'检算基准'!$B$6)+('检算基准'!$B$8*(1-'检算基准'!$B$9/'检算基准'!$B$10))*'弥罗技能'!$G$12/'检算基准'!$B$10*'弥罗技能'!$G$13/'检算基准'!$B$10</x:f>
        <x:v>556.4</x:v>
      </x:c>
      <x:c r="H60" s="46" t="n">
        <x:f>('弥罗技能'!$H$9+'弥罗技能'!$H$10/'检算基准'!$B$10*'检算基准'!$B$6)+('检算基准'!$B$8*(1-'检算基准'!$B$9/'检算基准'!$B$10))*'弥罗技能'!$H$12/'检算基准'!$B$10*'弥罗技能'!$H$13/'检算基准'!$B$10</x:f>
        <x:v>684.8</x:v>
      </x:c>
      <x:c r="I60" s="46" t="n">
        <x:f>('弥罗技能'!$I$9+'弥罗技能'!$I$10/'检算基准'!$B$10*'检算基准'!$B$6)+('检算基准'!$B$8*(1-'检算基准'!$B$9/'检算基准'!$B$10))*'弥罗技能'!$I$12/'检算基准'!$B$10*'弥罗技能'!$I$13/'检算基准'!$B$10</x:f>
        <x:v>858.8399999999999</x:v>
      </x:c>
      <x:c r="J60" s="46" t="n">
        <x:f>('弥罗技能'!$J$9+'弥罗技能'!$J$10/'检算基准'!$B$10*'检算基准'!$B$6)+('检算基准'!$B$8*(1-'检算基准'!$B$9/'检算基准'!$B$10))*'弥罗技能'!$J$12/'检算基准'!$B$10*'弥罗技能'!$J$13/'检算基准'!$B$10</x:f>
        <x:v>1070</x:v>
      </x:c>
      <x:c r="K60" s="42" t="n">
        <x:f>F60-E60</x:f>
        <x:v>52.160000000000025</x:v>
      </x:c>
      <x:c r="L60" s="42" t="n">
        <x:f>G60-F60</x:f>
        <x:v>76.23999999999995</x:v>
      </x:c>
      <x:c r="M60" s="42" t="n">
        <x:f>H60-G60</x:f>
        <x:v>128.39999999999998</x:v>
      </x:c>
      <x:c r="N60" s="42" t="n">
        <x:f>I60-H60</x:f>
        <x:v>174.03999999999996</x:v>
      </x:c>
      <x:c r="O60" s="42" t="n">
        <x:f>J60-I60</x:f>
        <x:v>211.16000000000008</x:v>
      </x:c>
      <x:c r="P60" s="43" t="n">
        <x:f>IFERROR(J60/E60-1,0)</x:f>
        <x:v>1.5</x:v>
      </x:c>
      <x:c r="Q60" s="20" t="str"/>
    </x:row>
    <x:row r="61" ht="39" customHeight="1">
      <x:c r="A61" s="20" t="str">
        <x:v>弥罗</x:v>
      </x:c>
      <x:c r="B61" s="20" t="str">
        <x:v>Q2｜反刍炮</x:v>
      </x:c>
      <x:c r="C61" s="20" t="str">
        <x:v>饱食炮终爆伤害</x:v>
      </x:c>
      <x:c r="D61" s="20" t="str">
        <x:v>点</x:v>
      </x:c>
      <x:c r="E61" s="42" t="n">
        <x:f>('弥罗技能'!$E$22+'弥罗技能'!$E$23/'检算基准'!$B$10*'检算基准'!$B$6)</x:f>
        <x:v>325</x:v>
      </x:c>
      <x:c r="F61" s="42" t="n">
        <x:f>('弥罗技能'!$F$22+'弥罗技能'!$F$23/'检算基准'!$B$10*'检算基准'!$B$6)</x:f>
        <x:v>366</x:v>
      </x:c>
      <x:c r="G61" s="42" t="n">
        <x:f>('弥罗技能'!$G$22+'弥罗技能'!$G$23/'检算基准'!$B$10*'检算基准'!$B$6)</x:f>
        <x:v>428</x:v>
      </x:c>
      <x:c r="H61" s="46" t="n">
        <x:f>('弥罗技能'!$H$22+'弥罗技能'!$H$23/'检算基准'!$B$10*'检算基准'!$B$6)</x:f>
        <x:v>531</x:v>
      </x:c>
      <x:c r="I61" s="46" t="n">
        <x:f>('弥罗技能'!$I$22+'弥罗技能'!$I$23/'检算基准'!$B$10*'检算基准'!$B$6)</x:f>
        <x:v>670</x:v>
      </x:c>
      <x:c r="J61" s="46" t="n">
        <x:f>('弥罗技能'!$J$22+'弥罗技能'!$J$23/'检算基准'!$B$10*'检算基准'!$B$6)</x:f>
        <x:v>840</x:v>
      </x:c>
      <x:c r="K61" s="42" t="n">
        <x:f>F61-E61</x:f>
        <x:v>41</x:v>
      </x:c>
      <x:c r="L61" s="42" t="n">
        <x:f>G61-F61</x:f>
        <x:v>62</x:v>
      </x:c>
      <x:c r="M61" s="42" t="n">
        <x:f>H61-G61</x:f>
        <x:v>103</x:v>
      </x:c>
      <x:c r="N61" s="42" t="n">
        <x:f>I61-H61</x:f>
        <x:v>139</x:v>
      </x:c>
      <x:c r="O61" s="42" t="n">
        <x:f>J61-I61</x:f>
        <x:v>170</x:v>
      </x:c>
      <x:c r="P61" s="43" t="n">
        <x:f>IFERROR(J61/E61-1,0)</x:f>
        <x:v>1.5846153846153848</x:v>
      </x:c>
      <x:c r="Q61" s="20" t="str"/>
    </x:row>
    <x:row r="62" ht="39" customHeight="1">
      <x:c r="A62" s="20" t="str">
        <x:v>弥罗</x:v>
      </x:c>
      <x:c r="B62" s="20" t="str">
        <x:v>Q3｜胃海翻腾</x:v>
      </x:c>
      <x:c r="C62" s="20" t="str">
        <x:v>饱食全部咬合全中</x:v>
      </x:c>
      <x:c r="D62" s="20" t="str">
        <x:v>点</x:v>
      </x:c>
      <x:c r="E62" s="42" t="n">
        <x:f>'弥罗技能'!$E$25*('弥罗技能'!$E$29+'弥罗技能'!$E$30/'检算基准'!$B$10*'检算基准'!$B$6)+('弥罗技能'!$E$32+'弥罗技能'!$E$33/'检算基准'!$B$10*'检算基准'!$B$6)</x:f>
        <x:v>440</x:v>
      </x:c>
      <x:c r="F62" s="42" t="n">
        <x:f>'弥罗技能'!$F$25*('弥罗技能'!$F$29+'弥罗技能'!$F$30/'检算基准'!$B$10*'检算基准'!$B$6)+('弥罗技能'!$F$32+'弥罗技能'!$F$33/'检算基准'!$B$10*'检算基准'!$B$6)</x:f>
        <x:v>494</x:v>
      </x:c>
      <x:c r="G62" s="42" t="n">
        <x:f>'弥罗技能'!$G$25*('弥罗技能'!$G$29+'弥罗技能'!$G$30/'检算基准'!$B$10*'检算基准'!$B$6)+('弥罗技能'!$G$32+'弥罗技能'!$G$33/'检算基准'!$B$10*'检算基准'!$B$6)</x:f>
        <x:v>565</x:v>
      </x:c>
      <x:c r="H62" s="46" t="n">
        <x:f>'弥罗技能'!$H$25*('弥罗技能'!$H$29+'弥罗技能'!$H$30/'检算基准'!$B$10*'检算基准'!$B$6)+('弥罗技能'!$H$32+'弥罗技能'!$H$33/'检算基准'!$B$10*'检算基准'!$B$6)</x:f>
        <x:v>690</x:v>
      </x:c>
      <x:c r="I62" s="46" t="n">
        <x:f>'弥罗技能'!$I$25*('弥罗技能'!$I$29+'弥罗技能'!$I$30/'检算基准'!$B$10*'检算基准'!$B$6)+('弥罗技能'!$I$32+'弥罗技能'!$I$33/'检算基准'!$B$10*'检算基准'!$B$6)</x:f>
        <x:v>856</x:v>
      </x:c>
      <x:c r="J62" s="46" t="n">
        <x:f>'弥罗技能'!$J$25*('弥罗技能'!$J$29+'弥罗技能'!$J$30/'检算基准'!$B$10*'检算基准'!$B$6)+('弥罗技能'!$J$32+'弥罗技能'!$J$33/'检算基准'!$B$10*'检算基准'!$B$6)</x:f>
        <x:v>1065</x:v>
      </x:c>
      <x:c r="K62" s="42" t="n">
        <x:f>F62-E62</x:f>
        <x:v>54</x:v>
      </x:c>
      <x:c r="L62" s="42" t="n">
        <x:f>G62-F62</x:f>
        <x:v>71</x:v>
      </x:c>
      <x:c r="M62" s="42" t="n">
        <x:f>H62-G62</x:f>
        <x:v>125</x:v>
      </x:c>
      <x:c r="N62" s="42" t="n">
        <x:f>I62-H62</x:f>
        <x:v>166</x:v>
      </x:c>
      <x:c r="O62" s="42" t="n">
        <x:f>J62-I62</x:f>
        <x:v>209</x:v>
      </x:c>
      <x:c r="P62" s="43" t="n">
        <x:f>IFERROR(J62/E62-1,0)</x:f>
        <x:v>1.4204545454545454</x:v>
      </x:c>
      <x:c r="Q62" s="20" t="str"/>
    </x:row>
    <x:row r="63" ht="39" customHeight="1">
      <x:c r="A63" s="20" t="str">
        <x:v>弥罗</x:v>
      </x:c>
      <x:c r="B63" s="20" t="str">
        <x:v>E1｜蜕腹</x:v>
      </x:c>
      <x:c r="C63" s="20" t="str">
        <x:v>诱饵基础爆炸伤害</x:v>
      </x:c>
      <x:c r="D63" s="20" t="str">
        <x:v>点</x:v>
      </x:c>
      <x:c r="E63" s="42" t="n">
        <x:f>('弥罗技能'!$E$43+'弥罗技能'!$E$44/'检算基准'!$B$10*'检算基准'!$B$6)</x:f>
        <x:v>140</x:v>
      </x:c>
      <x:c r="F63" s="42" t="n">
        <x:f>('弥罗技能'!$F$43+'弥罗技能'!$F$44/'检算基准'!$B$10*'检算基准'!$B$6)</x:f>
        <x:v>163</x:v>
      </x:c>
      <x:c r="G63" s="42" t="n">
        <x:f>('弥罗技能'!$G$43+'弥罗技能'!$G$44/'检算基准'!$B$10*'检算基准'!$B$6)</x:f>
        <x:v>198</x:v>
      </x:c>
      <x:c r="H63" s="46" t="n">
        <x:f>('弥罗技能'!$H$43+'弥罗技能'!$H$44/'检算基准'!$B$10*'检算基准'!$B$6)</x:f>
        <x:v>256</x:v>
      </x:c>
      <x:c r="I63" s="46" t="n">
        <x:f>('弥罗技能'!$I$43+'弥罗技能'!$I$44/'检算基准'!$B$10*'检算基准'!$B$6)</x:f>
        <x:v>335</x:v>
      </x:c>
      <x:c r="J63" s="46" t="n">
        <x:f>('弥罗技能'!$J$43+'弥罗技能'!$J$44/'检算基准'!$B$10*'检算基准'!$B$6)</x:f>
        <x:v>430</x:v>
      </x:c>
      <x:c r="K63" s="42" t="n">
        <x:f>F63-E63</x:f>
        <x:v>23</x:v>
      </x:c>
      <x:c r="L63" s="42" t="n">
        <x:f>G63-F63</x:f>
        <x:v>35</x:v>
      </x:c>
      <x:c r="M63" s="42" t="n">
        <x:f>H63-G63</x:f>
        <x:v>58</x:v>
      </x:c>
      <x:c r="N63" s="42" t="n">
        <x:f>I63-H63</x:f>
        <x:v>79</x:v>
      </x:c>
      <x:c r="O63" s="42" t="n">
        <x:f>J63-I63</x:f>
        <x:v>95</x:v>
      </x:c>
      <x:c r="P63" s="43" t="n">
        <x:f>IFERROR(J63/E63-1,0)</x:f>
        <x:v>2.0714285714285716</x:v>
      </x:c>
      <x:c r="Q63" s="20" t="str">
        <x:v>不含饱食吸收伤害追加。</x:v>
      </x:c>
    </x:row>
    <x:row r="64" ht="39" customHeight="1">
      <x:c r="A64" s="20" t="str">
        <x:v>弥罗</x:v>
      </x:c>
      <x:c r="B64" s="20" t="str">
        <x:v>E2｜吞害</x:v>
      </x:c>
      <x:c r="C64" s="20" t="str">
        <x:v>强化吞害冲击波</x:v>
      </x:c>
      <x:c r="D64" s="20" t="str">
        <x:v>点</x:v>
      </x:c>
      <x:c r="E64" s="42" t="n">
        <x:f>('弥罗技能'!$E$62+'弥罗技能'!$E$63/'检算基准'!$B$10*'检算基准'!$B$6)</x:f>
        <x:v>230</x:v>
      </x:c>
      <x:c r="F64" s="42" t="n">
        <x:f>('弥罗技能'!$F$62+'弥罗技能'!$F$63/'检算基准'!$B$10*'检算基准'!$B$6)</x:f>
        <x:v>264</x:v>
      </x:c>
      <x:c r="G64" s="42" t="n">
        <x:f>('弥罗技能'!$G$62+'弥罗技能'!$G$63/'检算基准'!$B$10*'检算基准'!$B$6)</x:f>
        <x:v>313</x:v>
      </x:c>
      <x:c r="H64" s="46" t="n">
        <x:f>('弥罗技能'!$H$62+'弥罗技能'!$H$63/'检算基准'!$B$10*'检算基准'!$B$6)</x:f>
        <x:v>396</x:v>
      </x:c>
      <x:c r="I64" s="46" t="n">
        <x:f>('弥罗技能'!$I$62+'弥罗技能'!$I$63/'检算基准'!$B$10*'检算基准'!$B$6)</x:f>
        <x:v>508</x:v>
      </x:c>
      <x:c r="J64" s="46" t="n">
        <x:f>('弥罗技能'!$J$62+'弥罗技能'!$J$63/'检算基准'!$B$10*'检算基准'!$B$6)</x:f>
        <x:v>645</x:v>
      </x:c>
      <x:c r="K64" s="42" t="n">
        <x:f>F64-E64</x:f>
        <x:v>34</x:v>
      </x:c>
      <x:c r="L64" s="42" t="n">
        <x:f>G64-F64</x:f>
        <x:v>49</x:v>
      </x:c>
      <x:c r="M64" s="42" t="n">
        <x:f>H64-G64</x:f>
        <x:v>83</x:v>
      </x:c>
      <x:c r="N64" s="42" t="n">
        <x:f>I64-H64</x:f>
        <x:v>112</x:v>
      </x:c>
      <x:c r="O64" s="42" t="n">
        <x:f>J64-I64</x:f>
        <x:v>137</x:v>
      </x:c>
      <x:c r="P64" s="43" t="n">
        <x:f>IFERROR(J64/E64-1,0)</x:f>
        <x:v>1.8043478260869565</x:v>
      </x:c>
      <x:c r="Q64" s="20" t="str"/>
    </x:row>
    <x:row r="65" ht="39" customHeight="1">
      <x:c r="A65" s="20" t="str">
        <x:v>弥罗</x:v>
      </x:c>
      <x:c r="B65" s="20" t="str">
        <x:v>E3｜消化</x:v>
      </x:c>
      <x:c r="C65" s="20" t="str">
        <x:v>满额消化恢复</x:v>
      </x:c>
      <x:c r="D65" s="20" t="str">
        <x:v>点</x:v>
      </x:c>
      <x:c r="E65" s="42" t="n">
        <x:f>'弥罗技能'!$E$65*'检算基准'!$B$7*'弥罗技能'!$E$66/'检算基准'!$B$10</x:f>
        <x:v>180</x:v>
      </x:c>
      <x:c r="F65" s="42" t="n">
        <x:f>'弥罗技能'!$F$65*'检算基准'!$B$7*'弥罗技能'!$F$66/'检算基准'!$B$10</x:f>
        <x:v>198</x:v>
      </x:c>
      <x:c r="G65" s="42" t="n">
        <x:f>'弥罗技能'!$G$65*'检算基准'!$B$7*'弥罗技能'!$G$66/'检算基准'!$B$10</x:f>
        <x:v>229.5</x:v>
      </x:c>
      <x:c r="H65" s="46" t="n">
        <x:f>'弥罗技能'!$H$65*'检算基准'!$B$7*'弥罗技能'!$H$66/'检算基准'!$B$10</x:f>
        <x:v>283.5</x:v>
      </x:c>
      <x:c r="I65" s="46" t="n">
        <x:f>'弥罗技能'!$I$65*'检算基准'!$B$7*'弥罗技能'!$I$66/'检算基准'!$B$10</x:f>
        <x:v>360</x:v>
      </x:c>
      <x:c r="J65" s="46" t="n">
        <x:f>'弥罗技能'!$J$65*'检算基准'!$B$7*'弥罗技能'!$J$66/'检算基准'!$B$10</x:f>
        <x:v>463.5</x:v>
      </x:c>
      <x:c r="K65" s="42" t="n">
        <x:f>F65-E65</x:f>
        <x:v>18</x:v>
      </x:c>
      <x:c r="L65" s="42" t="n">
        <x:f>G65-F65</x:f>
        <x:v>31.5</x:v>
      </x:c>
      <x:c r="M65" s="42" t="n">
        <x:f>H65-G65</x:f>
        <x:v>54</x:v>
      </x:c>
      <x:c r="N65" s="42" t="n">
        <x:f>I65-H65</x:f>
        <x:v>76.5</x:v>
      </x:c>
      <x:c r="O65" s="42" t="n">
        <x:f>J65-I65</x:f>
        <x:v>103.5</x:v>
      </x:c>
      <x:c r="P65" s="43" t="n">
        <x:f>IFERROR(J65/E65-1,0)</x:f>
        <x:v>1.5750000000000002</x:v>
      </x:c>
      <x:c r="Q65" s="20" t="str"/>
    </x:row>
    <x:row r="66" ht="39" customHeight="1">
      <x:c r="A66" s="20" t="str">
        <x:v>弥罗</x:v>
      </x:c>
      <x:c r="B66" s="20" t="str">
        <x:v>P1｜消化良好</x:v>
      </x:c>
      <x:c r="C66" s="20" t="str">
        <x:v>每格食质治疗</x:v>
      </x:c>
      <x:c r="D66" s="20" t="str">
        <x:v>点</x:v>
      </x:c>
      <x:c r="E66" s="42" t="n">
        <x:f>'检算基准'!$B$7*'弥罗技能'!$E$71/'检算基准'!$B$10</x:f>
        <x:v>12</x:v>
      </x:c>
      <x:c r="F66" s="42" t="n">
        <x:f>'检算基准'!$B$7*'弥罗技能'!$F$71/'检算基准'!$B$10</x:f>
        <x:v>18</x:v>
      </x:c>
      <x:c r="G66" s="46" t="n">
        <x:f>'检算基准'!$B$7*'弥罗技能'!$G$71/'检算基准'!$B$10</x:f>
        <x:v>30</x:v>
      </x:c>
      <x:c r="H66" s="46" t="n">
        <x:f>'检算基准'!$B$7*'弥罗技能'!$H$71/'检算基准'!$B$10</x:f>
        <x:v>49.5</x:v>
      </x:c>
      <x:c r="I66" s="42"/>
      <x:c r="J66" s="42"/>
      <x:c r="K66" s="42" t="n">
        <x:f>F66-E66</x:f>
        <x:v>6</x:v>
      </x:c>
      <x:c r="L66" s="42" t="n">
        <x:f>G66-F66</x:f>
        <x:v>12</x:v>
      </x:c>
      <x:c r="M66" s="42" t="n">
        <x:f>H66-G66</x:f>
        <x:v>19.5</x:v>
      </x:c>
      <x:c r="N66" s="42"/>
      <x:c r="O66" s="42"/>
      <x:c r="P66" s="43" t="n">
        <x:f>IFERROR(H66/E66-1,0)</x:f>
        <x:v>3.125</x:v>
      </x:c>
      <x:c r="Q66" s="20" t="str"/>
    </x:row>
    <x:row r="67" ht="39" customHeight="1">
      <x:c r="A67" s="20" t="str">
        <x:v>弥罗</x:v>
      </x:c>
      <x:c r="B67" s="20" t="str">
        <x:v>P2｜越撑越凶</x:v>
      </x:c>
      <x:c r="C67" s="20" t="str">
        <x:v>满食质法强提高</x:v>
      </x:c>
      <x:c r="D67" s="20" t="str">
        <x:v>%</x:v>
      </x:c>
      <x:c r="E67" s="42" t="n">
        <x:f>'基础与资源'!$F$65*'弥罗技能'!$E$73</x:f>
        <x:v>9</x:v>
      </x:c>
      <x:c r="F67" s="42" t="n">
        <x:f>'基础与资源'!$F$65*'弥罗技能'!$F$73</x:f>
        <x:v>12</x:v>
      </x:c>
      <x:c r="G67" s="46" t="n">
        <x:f>'基础与资源'!$F$65*'弥罗技能'!$G$73</x:f>
        <x:v>19.200000000000003</x:v>
      </x:c>
      <x:c r="H67" s="46" t="n">
        <x:f>'基础与资源'!$F$65*'弥罗技能'!$H$73</x:f>
        <x:v>33</x:v>
      </x:c>
      <x:c r="I67" s="42"/>
      <x:c r="J67" s="42"/>
      <x:c r="K67" s="42" t="n">
        <x:f>F67-E67</x:f>
        <x:v>3</x:v>
      </x:c>
      <x:c r="L67" s="42" t="n">
        <x:f>G67-F67</x:f>
        <x:v>7.200000000000003</x:v>
      </x:c>
      <x:c r="M67" s="42" t="n">
        <x:f>H67-G67</x:f>
        <x:v>13.799999999999997</x:v>
      </x:c>
      <x:c r="N67" s="42"/>
      <x:c r="O67" s="42"/>
      <x:c r="P67" s="43" t="n">
        <x:f>IFERROR(H67/E67-1,0)</x:f>
        <x:v>2.6666666666666665</x:v>
      </x:c>
      <x:c r="Q67" s="20" t="str"/>
    </x:row>
    <x:row r="68" ht="39" customHeight="1">
      <x:c r="A68" s="20" t="str">
        <x:v>弥罗</x:v>
      </x:c>
      <x:c r="B68" s="20" t="str">
        <x:v>P3｜空腹猎食</x:v>
      </x:c>
      <x:c r="C68" s="20" t="str">
        <x:v>空腹攻击速度提高</x:v>
      </x:c>
      <x:c r="D68" s="20" t="str">
        <x:v>%</x:v>
      </x:c>
      <x:c r="E68" s="42" t="n">
        <x:f>'弥罗技能'!$E$75</x:f>
        <x:v>12</x:v>
      </x:c>
      <x:c r="F68" s="42" t="n">
        <x:f>'弥罗技能'!$F$75</x:f>
        <x:v>18</x:v>
      </x:c>
      <x:c r="G68" s="46" t="n">
        <x:f>'弥罗技能'!$G$75</x:f>
        <x:v>30</x:v>
      </x:c>
      <x:c r="H68" s="46" t="n">
        <x:f>'弥罗技能'!$H$75</x:f>
        <x:v>50</x:v>
      </x:c>
      <x:c r="I68" s="42"/>
      <x:c r="J68" s="42"/>
      <x:c r="K68" s="42" t="n">
        <x:f>F68-E68</x:f>
        <x:v>6</x:v>
      </x:c>
      <x:c r="L68" s="42" t="n">
        <x:f>G68-F68</x:f>
        <x:v>12</x:v>
      </x:c>
      <x:c r="M68" s="42" t="n">
        <x:f>H68-G68</x:f>
        <x:v>20</x:v>
      </x:c>
      <x:c r="N68" s="42"/>
      <x:c r="O68" s="42"/>
      <x:c r="P68" s="43" t="n">
        <x:f>IFERROR(H68/E68-1,0)</x:f>
        <x:v>3.166666666666667</x:v>
      </x:c>
      <x:c r="Q68" s="20" t="str"/>
    </x:row>
    <x:row r="69" ht="39" customHeight="1">
      <x:c r="A69" s="20" t="str">
        <x:v>弥罗</x:v>
      </x:c>
      <x:c r="B69" s="20" t="str">
        <x:v>R1｜暴食天灾</x:v>
      </x:c>
      <x:c r="C69" s="20" t="str">
        <x:v>暴食体持续</x:v>
      </x:c>
      <x:c r="D69" s="20" t="str">
        <x:v>秒</x:v>
      </x:c>
      <x:c r="E69" s="42" t="n">
        <x:f>'弥罗技能'!$E$77</x:f>
        <x:v>10</x:v>
      </x:c>
      <x:c r="F69" s="42" t="n">
        <x:f>'弥罗技能'!$F$77</x:f>
        <x:v>10.8</x:v>
      </x:c>
      <x:c r="G69" s="46" t="n">
        <x:f>'弥罗技能'!$G$77</x:f>
        <x:v>12.5</x:v>
      </x:c>
      <x:c r="H69" s="46" t="n">
        <x:f>'弥罗技能'!$H$77</x:f>
        <x:v>15</x:v>
      </x:c>
      <x:c r="I69" s="42"/>
      <x:c r="J69" s="42"/>
      <x:c r="K69" s="42" t="n">
        <x:f>F69-E69</x:f>
        <x:v>0.8000000000000007</x:v>
      </x:c>
      <x:c r="L69" s="42" t="n">
        <x:f>G69-F69</x:f>
        <x:v>1.6999999999999993</x:v>
      </x:c>
      <x:c r="M69" s="42" t="n">
        <x:f>H69-G69</x:f>
        <x:v>2.5</x:v>
      </x:c>
      <x:c r="N69" s="42"/>
      <x:c r="O69" s="42"/>
      <x:c r="P69" s="43" t="n">
        <x:f>IFERROR(H69/E69-1,0)</x:f>
        <x:v>0.5</x:v>
      </x:c>
      <x:c r="Q69" s="20" t="str">
        <x:v>免消耗机制收益不折成伤害；其他数值见技能页。</x:v>
      </x:c>
    </x:row>
    <x:row r="70" ht="39" customHeight="1">
      <x:c r="A70" s="20" t="str">
        <x:v>弥罗</x:v>
      </x:c>
      <x:c r="B70" s="20" t="str">
        <x:v>R2｜吞天</x:v>
      </x:c>
      <x:c r="C70" s="20" t="str">
        <x:v>无吞入Boss全程伤害</x:v>
      </x:c>
      <x:c r="D70" s="20" t="str">
        <x:v>点</x:v>
      </x:c>
      <x:c r="E70" s="42" t="n">
        <x:f>INT('弥罗技能'!$E$83/'弥罗技能'!$E$89)*('弥罗技能'!$E$90+'弥罗技能'!$E$91/'检算基准'!$B$10*'检算基准'!$B$6)+('弥罗技能'!$E$95+'弥罗技能'!$E$96/'检算基准'!$B$10*'检算基准'!$B$6)</x:f>
        <x:v>1502</x:v>
      </x:c>
      <x:c r="F70" s="42" t="n">
        <x:f>INT('弥罗技能'!$F$83/'弥罗技能'!$F$89)*('弥罗技能'!$F$90+'弥罗技能'!$F$91/'检算基准'!$B$10*'检算基准'!$B$6)+('弥罗技能'!$F$95+'弥罗技能'!$F$96/'检算基准'!$B$10*'检算基准'!$B$6)</x:f>
        <x:v>1860</x:v>
      </x:c>
      <x:c r="G70" s="46" t="n">
        <x:f>INT('弥罗技能'!$G$83/'弥罗技能'!$G$89)*('弥罗技能'!$G$90+'弥罗技能'!$G$91/'检算基准'!$B$10*'检算基准'!$B$6)+('弥罗技能'!$G$95+'弥罗技能'!$G$96/'检算基准'!$B$10*'检算基准'!$B$6)</x:f>
        <x:v>2970</x:v>
      </x:c>
      <x:c r="H70" s="46" t="n">
        <x:f>INT('弥罗技能'!$H$83/'弥罗技能'!$H$89)*('弥罗技能'!$H$90+'弥罗技能'!$H$91/'检算基准'!$B$10*'检算基准'!$B$6)+('弥罗技能'!$H$95+'弥罗技能'!$H$96/'检算基准'!$B$10*'检算基准'!$B$6)</x:f>
        <x:v>5062</x:v>
      </x:c>
      <x:c r="I70" s="42"/>
      <x:c r="J70" s="42"/>
      <x:c r="K70" s="42" t="n">
        <x:f>F70-E70</x:f>
        <x:v>358</x:v>
      </x:c>
      <x:c r="L70" s="42" t="n">
        <x:f>G70-F70</x:f>
        <x:v>1110</x:v>
      </x:c>
      <x:c r="M70" s="42" t="n">
        <x:f>H70-G70</x:f>
        <x:v>2092</x:v>
      </x:c>
      <x:c r="N70" s="42"/>
      <x:c r="O70" s="42"/>
      <x:c r="P70" s="43" t="n">
        <x:f>IFERROR(H70/E70-1,0)</x:f>
        <x:v>2.37017310252996</x:v>
      </x:c>
      <x:c r="Q70" s="20" t="str">
        <x:v>不计算吞入普通敌人后的终爆增幅。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fc06e18dcdc8474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39" hidden="0" customWidth="1"/>
    <x:col min="4" max="4" width="90" hidden="0" customWidth="1"/>
  </x:cols>
  <x:sheetData>
    <x:row r="1" ht="36" customHeight="1">
      <x:c r="A1" s="7" t="str">
        <x:v>原稿机制边界</x:v>
      </x:c>
      <x:c r="B1" s="7"/>
      <x:c r="C1" s="7"/>
      <x:c r="D1" s="7"/>
    </x:row>
    <x:row r="2" ht="30" customHeight="1">
      <x:c r="A2" s="11" t="str">
        <x:v>此页只保留原稿尚未确定或存在冲突的结算点；不以新增数值偷偷替代机制决定。</x:v>
      </x:c>
      <x:c r="B2" s="11"/>
      <x:c r="C2" s="11"/>
      <x:c r="D2" s="11"/>
    </x:row>
    <x:row r="3" ht="24" customHeight="1">
      <x:c r="A3" s="3"/>
      <x:c r="B3" s="3"/>
      <x:c r="C3" s="3"/>
      <x:c r="D3" s="3"/>
    </x:row>
    <x:row r="4" ht="28" customHeight="1">
      <x:c r="A4" s="16" t="str">
        <x:v>对象</x:v>
      </x:c>
      <x:c r="B4" s="16" t="str">
        <x:v>技能／项目</x:v>
      </x:c>
      <x:c r="C4" s="16" t="str">
        <x:v>待确认问题</x:v>
      </x:c>
      <x:c r="D4" s="16" t="str">
        <x:v>本表处理</x:v>
      </x:c>
    </x:row>
    <x:row r="5" ht="60" customHeight="1">
      <x:c r="A5" s="20" t="str">
        <x:v>晏归舟</x:v>
      </x:c>
      <x:c r="B5" s="20" t="str">
        <x:v>咫尺千里</x:v>
      </x:c>
      <x:c r="C5" s="20" t="str">
        <x:v>正文近距高伤、旧成长行远距高伤冲突</x:v>
      </x:c>
      <x:c r="D5" s="20" t="str">
        <x:v>本表按最新机制稿正文配置近距高、远距低；未改变交换对象。</x:v>
      </x:c>
    </x:row>
    <x:row r="6" ht="60" customHeight="1">
      <x:c r="A6" s="20" t="str">
        <x:v>晏归舟</x:v>
      </x:c>
      <x:c r="B6" s="20" t="str">
        <x:v>计白当黑</x:v>
      </x:c>
      <x:c r="C6" s="20" t="str">
        <x:v>完整施法何时确认只命中单目标</x:v>
      </x:c>
      <x:c r="D6" s="20" t="str">
        <x:v>返还数值已给；多段/持续伤害的确认时点与返还入账时点待定。</x:v>
      </x:c>
    </x:row>
    <x:row r="7" ht="60" customHeight="1">
      <x:c r="A7" s="20" t="str">
        <x:v>晏归舟</x:v>
      </x:c>
      <x:c r="B7" s="20" t="str">
        <x:v>一蓑烟雨</x:v>
      </x:c>
      <x:c r="C7" s="20" t="str">
        <x:v>雨痕的追加伤害作用范围</x:v>
      </x:c>
      <x:c r="D7" s="20" t="str">
        <x:v>聚形爆炸半径已给；雨痕是全体被标记者受伤还是仅爆炸内被标记者受伤，尚未定。</x:v>
      </x:c>
    </x:row>
    <x:row r="8" ht="60" customHeight="1">
      <x:c r="A8" s="20" t="str">
        <x:v>弧翎</x:v>
      </x:c>
      <x:c r="B8" s="20" t="str">
        <x:v>终端校准</x:v>
      </x:c>
      <x:c r="C8" s="20" t="str">
        <x:v>正文满层增伤、旧数字行写每层增伤</x:v>
      </x:c>
      <x:c r="D8" s="20" t="str">
        <x:v>本表按机制稿满层增伤，不把满层增幅再乘标记层数。</x:v>
      </x:c>
    </x:row>
    <x:row r="9" ht="60" customHeight="1">
      <x:c r="A9" s="20" t="str">
        <x:v>弧翎</x:v>
      </x:c>
      <x:c r="B9" s="20" t="str">
        <x:v>六翼悬膛</x:v>
      </x:c>
      <x:c r="C9" s="20" t="str">
        <x:v>储存窗口到期但未再次施放</x:v>
      </x:c>
      <x:c r="D9" s="20" t="str">
        <x:v>自动发射还是丢失存弹，原稿未定义。</x:v>
      </x:c>
    </x:row>
    <x:row r="10" ht="60" customHeight="1">
      <x:c r="A10" s="20" t="str">
        <x:v>弧翎</x:v>
      </x:c>
      <x:c r="B10" s="20" t="str">
        <x:v>天矛协议·六翼坠射</x:v>
      </x:c>
      <x:c r="C10" s="20" t="str">
        <x:v>窗口到期仍有未用天矛</x:v>
      </x:c>
      <x:c r="D10" s="20" t="str">
        <x:v>剩余天矛及恢复操作的处理，原稿未定义。</x:v>
      </x:c>
    </x:row>
    <x:row r="11" ht="60" customHeight="1">
      <x:c r="A11" s="20" t="str">
        <x:v>玄垒</x:v>
      </x:c>
      <x:c r="B11" s="20" t="str">
        <x:v>合垒</x:v>
      </x:c>
      <x:c r="C11" s="20" t="str">
        <x:v>防御阵护盾发放与出入判定</x:v>
      </x:c>
      <x:c r="D11" s="20" t="str">
        <x:v>入阵发放、离阵保留、重入刷新方式未定义；数值不代表可循环刷盾。</x:v>
      </x:c>
    </x:row>
    <x:row r="12" ht="60" customHeight="1">
      <x:c r="A12" s="20" t="str">
        <x:v>玄垒</x:v>
      </x:c>
      <x:c r="B12" s="20" t="str">
        <x:v>三叩天关</x:v>
      </x:c>
      <x:c r="C12" s="20" t="str">
        <x:v>冲锋阶段的移动禁令</x:v>
      </x:c>
      <x:c r="D12" s="20" t="str">
        <x:v>按当前机制稿：禁止自行移动，不阻止技能冲锋；各冲锋间的限制未额外补写。</x:v>
      </x:c>
    </x:row>
    <x:row r="13" ht="60" customHeight="1">
      <x:c r="A13" s="20" t="str">
        <x:v>赫兹</x:v>
      </x:c>
      <x:c r="B13" s="20" t="str">
        <x:v>重载</x:v>
      </x:c>
      <x:c r="C13" s="20" t="str">
        <x:v>历史拥有车厢的累计口径</x:v>
      </x:c>
      <x:c r="D13" s="20" t="str">
        <x:v>固定生命成长值已给；重建是否再次计数、技能升级是否追补历史收益未定。</x:v>
      </x:c>
    </x:row>
    <x:row r="14" ht="60" customHeight="1">
      <x:c r="A14" s="20" t="str">
        <x:v>赫兹</x:v>
      </x:c>
      <x:c r="B14" s="20" t="str">
        <x:v>战地检修</x:v>
      </x:c>
      <x:c r="C14" s="20" t="str">
        <x:v>固定检修与主动取消</x:v>
      </x:c>
      <x:c r="D14" s="20" t="str">
        <x:v>按修订稿固定检修且不允许取消；只允许移动与Shift，停火。</x:v>
      </x:c>
    </x:row>
    <x:row r="15" ht="60" customHeight="1">
      <x:c r="A15" s="20" t="str">
        <x:v>弥罗</x:v>
      </x:c>
      <x:c r="B15" s="20" t="str">
        <x:v>吞天</x:v>
      </x:c>
      <x:c r="C15" s="20" t="str">
        <x:v>普通敌人进入胃界后的最终处理</x:v>
      </x:c>
      <x:c r="D15" s="20" t="str">
        <x:v>未规定直接死亡、击杀奖励时点或释放返回；本表未擅自选择。</x:v>
      </x:c>
    </x:row>
    <x:row r="16" ht="60" customHeight="1">
      <x:c r="A16" s="20" t="str">
        <x:v>弥罗</x:v>
      </x:c>
      <x:c r="B16" s="20" t="str">
        <x:v>暴食天灾／消化</x:v>
      </x:c>
      <x:c r="C16" s="20" t="str">
        <x:v>免消耗与按消耗格数治疗的关系</x:v>
      </x:c>
      <x:c r="D16" s="20" t="str">
        <x:v>两个机制原样保留；消化的计格和奖励方式需另定。</x:v>
      </x:c>
    </x:row>
    <x:row r="17" ht="60" customHeight="1">
      <x:c r="A17" s="20" t="str">
        <x:v>通用</x:v>
      </x:c>
      <x:c r="B17" s="20" t="str">
        <x:v>杀不完</x:v>
      </x:c>
      <x:c r="C17" s="20" t="str">
        <x:v>可重放伤害／治疗段清单</x:v>
      </x:c>
      <x:c r="D17" s="20" t="str">
        <x:v>不复制持续地形、召唤物与形态；需逐技能指定兼容段。</x:v>
      </x:c>
    </x:row>
    <x:row r="18" ht="60" customHeight="1">
      <x:c r="A18" s="20" t="str">
        <x:v>通用</x:v>
      </x:c>
      <x:c r="B18" s="20" t="str">
        <x:v>越来越离谱</x:v>
      </x:c>
      <x:c r="C18" s="20" t="str">
        <x:v>每项通用海克斯的可强化字段</x:v>
      </x:c>
      <x:c r="D18" s="20" t="str">
        <x:v>已给20%与最多2次；逐项映射未定，不得全参数自动提高。</x:v>
      </x:c>
    </x:row>
    <x:row r="19" ht="60" customHeight="1">
      <x:c r="A19" s="20" t="str">
        <x:v>通用</x:v>
      </x:c>
      <x:c r="B19" s="20" t="str">
        <x:v>G24–G30</x:v>
      </x:c>
      <x:c r="C19" s="20" t="str">
        <x:v>上一份机制稿中的新增七项</x:v>
      </x:c>
      <x:c r="D19" s="20" t="str">
        <x:v>数值已补全，状态仍为补充提案；不是另行增加七项。</x:v>
      </x:c>
    </x:row>
    <x:row r="20" ht="60" customHeight="1">
      <x:c r="A20" s="20" t="str">
        <x:v>全体</x:v>
      </x:c>
      <x:c r="B20" s="20" t="str">
        <x:v>连锁、追加攻击与百分比生命伤害</x:v>
      </x:c>
      <x:c r="C20" s="20" t="str">
        <x:v>叠加收益与触发递归</x:v>
      </x:c>
      <x:c r="D20" s="20" t="str">
        <x:v>未增加正文之外的控制免疫、次数上限或Boss免伤；仍需实机验证组合强度。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f646a56e9424578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2" hidden="0" customWidth="1"/>
    <x:col min="4" max="4" width="80" hidden="0" customWidth="1"/>
  </x:cols>
  <x:sheetData>
    <x:row r="1" ht="36" customHeight="1">
      <x:c r="A1" s="7" t="str">
        <x:v>成长检算｜输入基准</x:v>
      </x:c>
      <x:c r="B1" s="7"/>
      <x:c r="C1" s="7"/>
      <x:c r="D1" s="7"/>
    </x:row>
    <x:row r="2" ht="30" customHeight="1">
      <x:c r="A2" s="11" t="str">
        <x:v>只用于比较技能各级投入价值；不能直接作为英雄基础属性表或敌人数值表。</x:v>
      </x:c>
      <x:c r="B2" s="11"/>
      <x:c r="C2" s="11"/>
      <x:c r="D2" s="11"/>
    </x:row>
    <x:row r="3" ht="24" customHeight="1">
      <x:c r="A3" s="3"/>
      <x:c r="B3" s="3"/>
      <x:c r="C3" s="3"/>
      <x:c r="D3" s="3"/>
    </x:row>
    <x:row r="4" ht="28" customHeight="1">
      <x:c r="A4" s="16" t="str">
        <x:v>输入项</x:v>
      </x:c>
      <x:c r="B4" s="16" t="str">
        <x:v>数值</x:v>
      </x:c>
      <x:c r="C4" s="16" t="str">
        <x:v>单位</x:v>
      </x:c>
      <x:c r="D4" s="16" t="str">
        <x:v>口径</x:v>
      </x:c>
    </x:row>
    <x:row r="5" ht="24" customHeight="1">
      <x:c r="A5" s="20" t="str">
        <x:v>AD</x:v>
      </x:c>
      <x:c r="B5" s="26" t="n">
        <x:v>100</x:v>
      </x:c>
      <x:c r="C5" s="20" t="str">
        <x:v>点</x:v>
      </x:c>
      <x:c r="D5" s="20" t="str">
        <x:v>当前总攻击力，仅用于成长检算</x:v>
      </x:c>
    </x:row>
    <x:row r="6" ht="24" customHeight="1">
      <x:c r="A6" s="20" t="str">
        <x:v>AP</x:v>
      </x:c>
      <x:c r="B6" s="26" t="n">
        <x:v>200</x:v>
      </x:c>
      <x:c r="C6" s="20" t="str">
        <x:v>点</x:v>
      </x:c>
      <x:c r="D6" s="20" t="str">
        <x:v>当前总法术强度，仅用于成长检算</x:v>
      </x:c>
    </x:row>
    <x:row r="7" ht="24" customHeight="1">
      <x:c r="A7" s="20" t="str">
        <x:v>自身最大生命</x:v>
      </x:c>
      <x:c r="B7" s="26" t="n">
        <x:v>1500</x:v>
      </x:c>
      <x:c r="C7" s="20" t="str">
        <x:v>点</x:v>
      </x:c>
      <x:c r="D7" s="20" t="str">
        <x:v>用于生命比例伤害与护盾检算</x:v>
      </x:c>
    </x:row>
    <x:row r="8" ht="24" customHeight="1">
      <x:c r="A8" s="20" t="str">
        <x:v>目标最大生命</x:v>
      </x:c>
      <x:c r="B8" s="26" t="n">
        <x:v>30000</x:v>
      </x:c>
      <x:c r="C8" s="20" t="str">
        <x:v>点</x:v>
      </x:c>
      <x:c r="D8" s="20" t="str">
        <x:v>用于目标生命比例伤害检算</x:v>
      </x:c>
    </x:row>
    <x:row r="9" ht="24" customHeight="1">
      <x:c r="A9" s="20" t="str">
        <x:v>目标当前生命比例</x:v>
      </x:c>
      <x:c r="B9" s="26" t="n">
        <x:v>30</x:v>
      </x:c>
      <x:c r="C9" s="20" t="str">
        <x:v>%</x:v>
      </x:c>
      <x:c r="D9" s="20" t="str">
        <x:v>已损失生命=最大生命×(1-当前比例/100)</x:v>
      </x:c>
    </x:row>
    <x:row r="10" ht="24" customHeight="1">
      <x:c r="A10" s="20" t="str">
        <x:v>百分数换算分母</x:v>
      </x:c>
      <x:c r="B10" s="36" t="n">
        <x:v>100</x:v>
      </x:c>
      <x:c r="C10" s="20" t="str">
        <x:v>固定</x:v>
      </x:c>
      <x:c r="D10" s="20" t="str">
        <x:v>参数表填写120表示120%，实际乘区为120/100</x:v>
      </x:c>
    </x:row>
    <x:row r="11" ht="24" customHeight="1">
      <x:c r="A11" s="20" t="str">
        <x:v>成长检算击杀数</x:v>
      </x:c>
      <x:c r="B11" s="26" t="n">
        <x:v>100</x:v>
      </x:c>
      <x:c r="C11" s="20" t="str">
        <x:v>名</x:v>
      </x:c>
      <x:c r="D11" s="20" t="str">
        <x:v>用于风厉杀意淬锋的等量击杀收益比较</x:v>
      </x:c>
    </x:row>
    <x:row r="12" ht="24" customHeight="1">
      <x:c r="A12" s="20" t="str">
        <x:v>状态</x:v>
      </x:c>
      <x:c r="B12" s="26"/>
      <x:c r="C12" s="20" t="str">
        <x:v>—</x:v>
      </x:c>
      <x:c r="D12" s="20" t="str">
        <x:v>全部为首轮数值方案，未经过实机平衡；检算不计装备、其他技能或海克斯叠加。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e86d69722834973"/>
  </x:tableParts>
</x:worksheet>
</file>